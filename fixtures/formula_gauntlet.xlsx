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Operators" sheetId="3" state="visible" r:id="rId3"/>
    <sheet name="Math" sheetId="4" state="visible" r:id="rId4"/>
    <sheet name="Text" sheetId="5" state="visible" r:id="rId5"/>
    <sheet name="Logical" sheetId="6" state="visible" r:id="rId6"/>
    <sheet name="Lookup" sheetId="7" state="visible" r:id="rId7"/>
    <sheet name="Dates" sheetId="8" state="visible" r:id="rId8"/>
    <sheet name="Stats" sheetId="9" state="visible" r:id="rId9"/>
    <sheet name="Info" sheetId="10" state="visible" r:id="rId10"/>
    <sheet name="Financial" sheetId="11" state="visible" r:id="rId11"/>
    <sheet name="Engineering" sheetId="12" state="visible" r:id="rId12"/>
    <sheet name="Database" sheetId="13" state="visible" r:id="rId13"/>
    <sheet name="Errors" sheetId="14" state="visible" r:id="rId14"/>
    <sheet name="Gaps" sheetId="15" state="visible" r:id="rId15"/>
  </sheets>
  <definedNames>
    <definedName name="PriceTable">Data!$A$2:$C$6</definedName>
    <definedName name="TaxRate">Data!$F$1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Category</t>
        </is>
      </c>
      <c r="B1" s="1" t="inlineStr">
        <is>
          <t>Cases</t>
        </is>
      </c>
      <c r="C1" s="1" t="inlineStr">
        <is>
          <t>OK</t>
        </is>
      </c>
      <c r="D1" s="1" t="inlineStr">
        <is>
          <t>Fails</t>
        </is>
      </c>
    </row>
    <row r="2">
      <c r="A2" t="inlineStr">
        <is>
          <t>Operators</t>
        </is>
      </c>
      <c r="B2" t="n">
        <v>33</v>
      </c>
      <c r="C2">
        <f>COUNTIF('Operators'!$E$2:$E$34,"OK")</f>
        <v/>
      </c>
      <c r="D2">
        <f>B2-C2</f>
        <v/>
      </c>
    </row>
    <row r="3">
      <c r="A3" t="inlineStr">
        <is>
          <t>Math</t>
        </is>
      </c>
      <c r="B3" t="n">
        <v>61</v>
      </c>
      <c r="C3">
        <f>COUNTIF('Math'!$E$2:$E$62,"OK")</f>
        <v/>
      </c>
      <c r="D3">
        <f>B3-C3</f>
        <v/>
      </c>
    </row>
    <row r="4">
      <c r="A4" t="inlineStr">
        <is>
          <t>Text</t>
        </is>
      </c>
      <c r="B4" t="n">
        <v>55</v>
      </c>
      <c r="C4">
        <f>COUNTIF('Text'!$E$2:$E$56,"OK")</f>
        <v/>
      </c>
      <c r="D4">
        <f>B4-C4</f>
        <v/>
      </c>
    </row>
    <row r="5">
      <c r="A5" t="inlineStr">
        <is>
          <t>Logical</t>
        </is>
      </c>
      <c r="B5" t="n">
        <v>19</v>
      </c>
      <c r="C5">
        <f>COUNTIF('Logical'!$E$2:$E$20,"OK")</f>
        <v/>
      </c>
      <c r="D5">
        <f>B5-C5</f>
        <v/>
      </c>
    </row>
    <row r="6">
      <c r="A6" t="inlineStr">
        <is>
          <t>Lookup</t>
        </is>
      </c>
      <c r="B6" t="n">
        <v>40</v>
      </c>
      <c r="C6">
        <f>COUNTIF('Lookup'!$E$2:$E$41,"OK")</f>
        <v/>
      </c>
      <c r="D6">
        <f>B6-C6</f>
        <v/>
      </c>
    </row>
    <row r="7">
      <c r="A7" t="inlineStr">
        <is>
          <t>Dates</t>
        </is>
      </c>
      <c r="B7" t="n">
        <v>28</v>
      </c>
      <c r="C7">
        <f>COUNTIF('Dates'!$E$2:$E$29,"OK")</f>
        <v/>
      </c>
      <c r="D7">
        <f>B7-C7</f>
        <v/>
      </c>
    </row>
    <row r="8">
      <c r="A8" t="inlineStr">
        <is>
          <t>Stats</t>
        </is>
      </c>
      <c r="B8" t="n">
        <v>27</v>
      </c>
      <c r="C8">
        <f>COUNTIF('Stats'!$E$2:$E$28,"OK")</f>
        <v/>
      </c>
      <c r="D8">
        <f>B8-C8</f>
        <v/>
      </c>
    </row>
    <row r="9">
      <c r="A9" t="inlineStr">
        <is>
          <t>Info</t>
        </is>
      </c>
      <c r="B9" t="n">
        <v>19</v>
      </c>
      <c r="C9">
        <f>COUNTIF('Info'!$E$2:$E$20,"OK")</f>
        <v/>
      </c>
      <c r="D9">
        <f>B9-C9</f>
        <v/>
      </c>
    </row>
    <row r="10">
      <c r="A10" t="inlineStr">
        <is>
          <t>Financial</t>
        </is>
      </c>
      <c r="B10" t="n">
        <v>12</v>
      </c>
      <c r="C10">
        <f>COUNTIF('Financial'!$E$2:$E$13,"OK")</f>
        <v/>
      </c>
      <c r="D10">
        <f>B10-C10</f>
        <v/>
      </c>
    </row>
    <row r="11">
      <c r="A11" t="inlineStr">
        <is>
          <t>Engineering</t>
        </is>
      </c>
      <c r="B11" t="n">
        <v>22</v>
      </c>
      <c r="C11">
        <f>COUNTIF('Engineering'!$E$2:$E$23,"OK")</f>
        <v/>
      </c>
      <c r="D11">
        <f>B11-C11</f>
        <v/>
      </c>
    </row>
    <row r="12">
      <c r="A12" t="inlineStr">
        <is>
          <t>Database</t>
        </is>
      </c>
      <c r="B12" t="n">
        <v>5</v>
      </c>
      <c r="C12">
        <f>COUNTIF('Database'!$E$2:$E$6,"OK")</f>
        <v/>
      </c>
      <c r="D12">
        <f>B12-C12</f>
        <v/>
      </c>
    </row>
    <row r="13">
      <c r="A13" t="inlineStr">
        <is>
          <t>Errors</t>
        </is>
      </c>
      <c r="B13" t="n">
        <v>6</v>
      </c>
      <c r="C13">
        <f>COUNTIF('Errors'!$E$2:$E$7,"OK")</f>
        <v/>
      </c>
      <c r="D13">
        <f>B13-C13</f>
        <v/>
      </c>
    </row>
    <row r="14">
      <c r="A14" t="inlineStr">
        <is>
          <t>Gaps</t>
        </is>
      </c>
      <c r="B14" t="n">
        <v>4</v>
      </c>
      <c r="C14">
        <f>COUNTIF('Gaps'!$E$2:$E$5,"OK")</f>
        <v/>
      </c>
      <c r="D14">
        <f>B14-C14</f>
        <v/>
      </c>
    </row>
    <row r="15">
      <c r="A15" s="1" t="inlineStr">
        <is>
          <t>TOTAL</t>
        </is>
      </c>
      <c r="B15">
        <f>SUM(B2:B14)</f>
        <v/>
      </c>
      <c r="C15">
        <f>SUM(C2:C14)</f>
        <v/>
      </c>
      <c r="D15">
        <f>SUM(D2:D14)</f>
        <v/>
      </c>
    </row>
    <row r="17">
      <c r="A17">
        <f>IF(D15=0,"ALL PASS",D15&amp;" FAILURES")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Fruit</t>
        </is>
      </c>
      <c r="B1" t="inlineStr">
        <is>
          <t>Qty</t>
        </is>
      </c>
      <c r="C1" t="inlineStr">
        <is>
          <t>Price</t>
        </is>
      </c>
      <c r="E1" t="n">
        <v>5</v>
      </c>
      <c r="F1" t="n">
        <v>0.15</v>
      </c>
      <c r="G1" t="inlineStr">
        <is>
          <t>text</t>
        </is>
      </c>
      <c r="H1" t="inlineStr">
        <is>
          <t>Hello World</t>
        </is>
      </c>
      <c r="J1">
        <f>1+1</f>
        <v/>
      </c>
      <c r="K1" t="inlineStr">
        <is>
          <t>a</t>
        </is>
      </c>
      <c r="L1" t="inlineStr">
        <is>
          <t>b</t>
        </is>
      </c>
      <c r="M1" t="inlineStr">
        <is>
          <t>c</t>
        </is>
      </c>
      <c r="O1" t="n">
        <v>-100</v>
      </c>
    </row>
    <row r="2">
      <c r="A2" t="inlineStr">
        <is>
          <t>Apple</t>
        </is>
      </c>
      <c r="B2" t="n">
        <v>10</v>
      </c>
      <c r="C2" t="n">
        <v>0.5</v>
      </c>
      <c r="E2" t="n">
        <v>3</v>
      </c>
      <c r="G2" t="n">
        <v>42</v>
      </c>
      <c r="H2" t="inlineStr">
        <is>
          <t xml:space="preserve">  padded  </t>
        </is>
      </c>
      <c r="K2" t="n">
        <v>1</v>
      </c>
      <c r="L2" t="n">
        <v>2</v>
      </c>
      <c r="M2" t="n">
        <v>3</v>
      </c>
      <c r="O2" t="n">
        <v>110</v>
      </c>
    </row>
    <row r="3">
      <c r="A3" t="inlineStr">
        <is>
          <t>Banana</t>
        </is>
      </c>
      <c r="B3" t="n">
        <v>20</v>
      </c>
      <c r="C3" t="n">
        <v>0.25</v>
      </c>
      <c r="E3" t="n">
        <v>8</v>
      </c>
      <c r="F3" t="n">
        <v>10</v>
      </c>
      <c r="G3" t="b">
        <v>1</v>
      </c>
      <c r="H3" t="inlineStr">
        <is>
          <t>MiXeD cAsE</t>
        </is>
      </c>
    </row>
    <row r="4">
      <c r="A4" t="inlineStr">
        <is>
          <t>Cherry</t>
        </is>
      </c>
      <c r="B4" t="n">
        <v>5</v>
      </c>
      <c r="C4" t="n">
        <v>3.2</v>
      </c>
      <c r="E4" t="n">
        <v>1</v>
      </c>
      <c r="F4" t="n">
        <v>20</v>
      </c>
      <c r="K4" t="inlineStr">
        <is>
          <t>Qty</t>
        </is>
      </c>
      <c r="L4" t="inlineStr">
        <is>
          <t>Fruit</t>
        </is>
      </c>
    </row>
    <row r="5">
      <c r="A5" t="inlineStr">
        <is>
          <t>Date</t>
        </is>
      </c>
      <c r="B5" t="n">
        <v>15</v>
      </c>
      <c r="C5" t="n">
        <v>4.5</v>
      </c>
      <c r="E5" t="n">
        <v>9</v>
      </c>
      <c r="F5" t="n">
        <v>30</v>
      </c>
      <c r="G5">
        <f>NA()</f>
        <v/>
      </c>
      <c r="K5" t="inlineStr">
        <is>
          <t>&gt;8</t>
        </is>
      </c>
      <c r="L5" t="inlineStr">
        <is>
          <t>Date</t>
        </is>
      </c>
    </row>
    <row r="6">
      <c r="A6" t="inlineStr">
        <is>
          <t>Elderberry</t>
        </is>
      </c>
      <c r="B6" t="n">
        <v>8</v>
      </c>
      <c r="C6" t="n">
        <v>7</v>
      </c>
      <c r="E6" t="n">
        <v>2</v>
      </c>
      <c r="F6" t="n">
        <v>40</v>
      </c>
    </row>
    <row r="7">
      <c r="E7" t="n">
        <v>7</v>
      </c>
      <c r="F7" t="n">
        <v>50</v>
      </c>
    </row>
    <row r="8">
      <c r="E8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OPE001</t>
        </is>
      </c>
      <c r="B2" t="inlineStr">
        <is>
          <t>precedence: * before +</t>
        </is>
      </c>
      <c r="C2">
        <f>2+3*4</f>
        <v/>
      </c>
      <c r="D2" t="n">
        <v>14</v>
      </c>
      <c r="E2">
        <f>IF(ISNUMBER(C2),IF(ABS(C2-D2)&lt;0.000000001,"OK","FAIL"),"FAIL")</f>
        <v/>
      </c>
    </row>
    <row r="3">
      <c r="A3" t="inlineStr">
        <is>
          <t>OPE002</t>
        </is>
      </c>
      <c r="B3" t="inlineStr">
        <is>
          <t>parens</t>
        </is>
      </c>
      <c r="C3">
        <f>(2+3)*4</f>
        <v/>
      </c>
      <c r="D3" t="n">
        <v>20</v>
      </c>
      <c r="E3">
        <f>IF(ISNUMBER(C3),IF(ABS(C3-D3)&lt;0.000000001,"OK","FAIL"),"FAIL")</f>
        <v/>
      </c>
    </row>
    <row r="4">
      <c r="A4" t="inlineStr">
        <is>
          <t>OPE003</t>
        </is>
      </c>
      <c r="B4" t="inlineStr">
        <is>
          <t>^ is LEFT-associative in Excel: (2^3)^2</t>
        </is>
      </c>
      <c r="C4">
        <f>2^3^2</f>
        <v/>
      </c>
      <c r="D4" t="n">
        <v>64</v>
      </c>
      <c r="E4">
        <f>IF(ISNUMBER(C4),IF(ABS(C4-D4)&lt;0.000000001,"OK","FAIL"),"FAIL")</f>
        <v/>
      </c>
    </row>
    <row r="5">
      <c r="A5" t="inlineStr">
        <is>
          <t>OPE004</t>
        </is>
      </c>
      <c r="B5" t="inlineStr">
        <is>
          <t>unary minus binds tighter than ^: (-2)^2</t>
        </is>
      </c>
      <c r="C5">
        <f>-2^2</f>
        <v/>
      </c>
      <c r="D5" t="n">
        <v>4</v>
      </c>
      <c r="E5">
        <f>IF(ISNUMBER(C5),IF(ABS(C5-D5)&lt;0.000000001,"OK","FAIL"),"FAIL")</f>
        <v/>
      </c>
    </row>
    <row r="6">
      <c r="A6" t="inlineStr">
        <is>
          <t>OPE005</t>
        </is>
      </c>
      <c r="B6" t="inlineStr">
        <is>
          <t>negative exponent</t>
        </is>
      </c>
      <c r="C6">
        <f>2^-2</f>
        <v/>
      </c>
      <c r="D6" t="n">
        <v>0.25</v>
      </c>
      <c r="E6">
        <f>IF(ISNUMBER(C6),IF(ABS(C6-D6)&lt;0.000000001,"OK","FAIL"),"FAIL")</f>
        <v/>
      </c>
    </row>
    <row r="7">
      <c r="A7" t="inlineStr">
        <is>
          <t>OPE006</t>
        </is>
      </c>
      <c r="B7" t="inlineStr">
        <is>
          <t>percent literal</t>
        </is>
      </c>
      <c r="C7">
        <f>50%</f>
        <v/>
      </c>
      <c r="D7" t="n">
        <v>0.5</v>
      </c>
      <c r="E7">
        <f>IF(ISNUMBER(C7),IF(ABS(C7-D7)&lt;0.000000001,"OK","FAIL"),"FAIL")</f>
        <v/>
      </c>
    </row>
    <row r="8">
      <c r="A8" t="inlineStr">
        <is>
          <t>OPE007</t>
        </is>
      </c>
      <c r="B8" t="inlineStr">
        <is>
          <t>percent arithmetic</t>
        </is>
      </c>
      <c r="C8">
        <f>50%+50%</f>
        <v/>
      </c>
      <c r="D8" t="n">
        <v>1</v>
      </c>
      <c r="E8">
        <f>IF(ISNUMBER(C8),IF(ABS(C8-D8)&lt;0.000000001,"OK","FAIL"),"FAIL")</f>
        <v/>
      </c>
    </row>
    <row r="9">
      <c r="A9" t="inlineStr">
        <is>
          <t>OPE008</t>
        </is>
      </c>
      <c r="B9" t="inlineStr"/>
      <c r="C9">
        <f>10%*10</f>
        <v/>
      </c>
      <c r="D9" t="n">
        <v>1</v>
      </c>
      <c r="E9">
        <f>IF(ISNUMBER(C9),IF(ABS(C9-D9)&lt;0.000000001,"OK","FAIL"),"FAIL")</f>
        <v/>
      </c>
    </row>
    <row r="10">
      <c r="A10" t="inlineStr">
        <is>
          <t>OPE009</t>
        </is>
      </c>
      <c r="B10" t="inlineStr">
        <is>
          <t>true division</t>
        </is>
      </c>
      <c r="C10">
        <f>5/2</f>
        <v/>
      </c>
      <c r="D10" t="n">
        <v>2.5</v>
      </c>
      <c r="E10">
        <f>IF(ISNUMBER(C10),IF(ABS(C10-D10)&lt;0.000000001,"OK","FAIL"),"FAIL")</f>
        <v/>
      </c>
    </row>
    <row r="11">
      <c r="A11" t="inlineStr">
        <is>
          <t>OPE010</t>
        </is>
      </c>
      <c r="B11" t="inlineStr">
        <is>
          <t>fp addition within epsilon</t>
        </is>
      </c>
      <c r="C11">
        <f>0.1+0.2</f>
        <v/>
      </c>
      <c r="D11" t="n">
        <v>0.3</v>
      </c>
      <c r="E11">
        <f>IF(ISNUMBER(C11),IF(ABS(C11-D11)&lt;0.000000001,"OK","FAIL"),"FAIL")</f>
        <v/>
      </c>
    </row>
    <row r="12">
      <c r="A12" t="inlineStr">
        <is>
          <t>OPE011</t>
        </is>
      </c>
      <c r="B12" t="inlineStr">
        <is>
          <t>double negative</t>
        </is>
      </c>
      <c r="C12">
        <f>3--2</f>
        <v/>
      </c>
      <c r="D12" t="n">
        <v>5</v>
      </c>
      <c r="E12">
        <f>IF(ISNUMBER(C12),IF(ABS(C12-D12)&lt;0.000000001,"OK","FAIL"),"FAIL")</f>
        <v/>
      </c>
    </row>
    <row r="13">
      <c r="A13" t="inlineStr">
        <is>
          <t>OPE012</t>
        </is>
      </c>
      <c r="B13" t="inlineStr">
        <is>
          <t>double unary coerces text to number</t>
        </is>
      </c>
      <c r="C13">
        <f>--"7"</f>
        <v/>
      </c>
      <c r="D13" t="n">
        <v>7</v>
      </c>
      <c r="E13">
        <f>IF(ISNUMBER(C13),IF(ABS(C13-D13)&lt;0.000000001,"OK","FAIL"),"FAIL")</f>
        <v/>
      </c>
    </row>
    <row r="14">
      <c r="A14" t="inlineStr">
        <is>
          <t>OPE013</t>
        </is>
      </c>
      <c r="B14" t="inlineStr">
        <is>
          <t>text-number coercion in +</t>
        </is>
      </c>
      <c r="C14">
        <f>"5"+2</f>
        <v/>
      </c>
      <c r="D14" t="n">
        <v>7</v>
      </c>
      <c r="E14">
        <f>IF(ISNUMBER(C14),IF(ABS(C14-D14)&lt;0.000000001,"OK","FAIL"),"FAIL")</f>
        <v/>
      </c>
    </row>
    <row r="15">
      <c r="A15" t="inlineStr">
        <is>
          <t>OPE014</t>
        </is>
      </c>
      <c r="B15" t="inlineStr">
        <is>
          <t>boolean coerces to 1</t>
        </is>
      </c>
      <c r="C15">
        <f>TRUE+1</f>
        <v/>
      </c>
      <c r="D15" t="n">
        <v>2</v>
      </c>
      <c r="E15">
        <f>IF(ISNUMBER(C15),IF(ABS(C15-D15)&lt;0.000000001,"OK","FAIL"),"FAIL")</f>
        <v/>
      </c>
    </row>
    <row r="16">
      <c r="A16" t="inlineStr">
        <is>
          <t>OPE015</t>
        </is>
      </c>
      <c r="B16" t="inlineStr"/>
      <c r="C16">
        <f>TRUE*5</f>
        <v/>
      </c>
      <c r="D16" t="n">
        <v>5</v>
      </c>
      <c r="E16">
        <f>IF(ISNUMBER(C16),IF(ABS(C16-D16)&lt;0.000000001,"OK","FAIL"),"FAIL")</f>
        <v/>
      </c>
    </row>
    <row r="17">
      <c r="A17" t="inlineStr">
        <is>
          <t>OPE016</t>
        </is>
      </c>
      <c r="B17" t="inlineStr">
        <is>
          <t>comparisons coerce to 1</t>
        </is>
      </c>
      <c r="C17">
        <f>(1=1)+(2=2)</f>
        <v/>
      </c>
      <c r="D17" t="n">
        <v>2</v>
      </c>
      <c r="E17">
        <f>IF(ISNUMBER(C17),IF(ABS(C17-D17)&lt;0.000000001,"OK","FAIL"),"FAIL")</f>
        <v/>
      </c>
    </row>
    <row r="18">
      <c r="A18" t="inlineStr">
        <is>
          <t>OPE017</t>
        </is>
      </c>
      <c r="B18" t="inlineStr">
        <is>
          <t>unary minus after *</t>
        </is>
      </c>
      <c r="C18">
        <f>2*-3</f>
        <v/>
      </c>
      <c r="D18" t="n">
        <v>-6</v>
      </c>
      <c r="E18">
        <f>IF(ISNUMBER(C18),IF(ABS(C18-D18)&lt;0.000000001,"OK","FAIL"),"FAIL")</f>
        <v/>
      </c>
    </row>
    <row r="19">
      <c r="A19" t="inlineStr">
        <is>
          <t>OPE018</t>
        </is>
      </c>
      <c r="B19" t="inlineStr">
        <is>
          <t>scientific literal</t>
        </is>
      </c>
      <c r="C19">
        <f>1E3+1</f>
        <v/>
      </c>
      <c r="D19" t="n">
        <v>1001</v>
      </c>
      <c r="E19">
        <f>IF(ISNUMBER(C19),IF(ABS(C19-D19)&lt;0.000000001,"OK","FAIL"),"FAIL")</f>
        <v/>
      </c>
    </row>
    <row r="20">
      <c r="A20" t="inlineStr">
        <is>
          <t>OPE019</t>
        </is>
      </c>
      <c r="B20" t="inlineStr">
        <is>
          <t>&amp; concatenates numbers as text</t>
        </is>
      </c>
      <c r="C20">
        <f>7&amp;8</f>
        <v/>
      </c>
      <c r="D20" t="inlineStr">
        <is>
          <t>78</t>
        </is>
      </c>
      <c r="E20">
        <f>IF(ISTEXT(C20),IF(EXACT(C20,D20),"OK","FAIL"),"FAIL")</f>
        <v/>
      </c>
    </row>
    <row r="21">
      <c r="A21" t="inlineStr">
        <is>
          <t>OPE020</t>
        </is>
      </c>
      <c r="B21" t="inlineStr"/>
      <c r="C21">
        <f>"a"&amp;"b"</f>
        <v/>
      </c>
      <c r="D21" t="inlineStr">
        <is>
          <t>ab</t>
        </is>
      </c>
      <c r="E21">
        <f>IF(ISTEXT(C21),IF(EXACT(C21,D21),"OK","FAIL"),"FAIL")</f>
        <v/>
      </c>
    </row>
    <row r="22">
      <c r="A22" t="inlineStr">
        <is>
          <t>OPE021</t>
        </is>
      </c>
      <c r="B22" t="inlineStr"/>
      <c r="C22">
        <f>1&amp;"a"</f>
        <v/>
      </c>
      <c r="D22" t="inlineStr">
        <is>
          <t>1a</t>
        </is>
      </c>
      <c r="E22">
        <f>IF(ISTEXT(C22),IF(EXACT(C22,D22),"OK","FAIL"),"FAIL")</f>
        <v/>
      </c>
    </row>
    <row r="23">
      <c r="A23" t="inlineStr">
        <is>
          <t>OPE022</t>
        </is>
      </c>
      <c r="B23" t="inlineStr">
        <is>
          <t>&amp; never adds</t>
        </is>
      </c>
      <c r="C23">
        <f>"5"&amp;2</f>
        <v/>
      </c>
      <c r="D23" t="inlineStr">
        <is>
          <t>52</t>
        </is>
      </c>
      <c r="E23">
        <f>IF(ISTEXT(C23),IF(EXACT(C23,D23),"OK","FAIL"),"FAIL")</f>
        <v/>
      </c>
    </row>
    <row r="24">
      <c r="A24" t="inlineStr">
        <is>
          <t>OPE023</t>
        </is>
      </c>
      <c r="B24" t="inlineStr"/>
      <c r="C24">
        <f>1=1</f>
        <v/>
      </c>
      <c r="D24" t="b">
        <v>1</v>
      </c>
      <c r="E24">
        <f>IF(ISLOGICAL(C24),IF(C24=D24,"OK","FAIL"),"FAIL")</f>
        <v/>
      </c>
    </row>
    <row r="25">
      <c r="A25" t="inlineStr">
        <is>
          <t>OPE024</t>
        </is>
      </c>
      <c r="B25" t="inlineStr"/>
      <c r="C25">
        <f>1&lt;&gt;2</f>
        <v/>
      </c>
      <c r="D25" t="b">
        <v>1</v>
      </c>
      <c r="E25">
        <f>IF(ISLOGICAL(C25),IF(C25=D25,"OK","FAIL"),"FAIL")</f>
        <v/>
      </c>
    </row>
    <row r="26">
      <c r="A26" t="inlineStr">
        <is>
          <t>OPE025</t>
        </is>
      </c>
      <c r="B26">
        <f> is case-insensitive for text</f>
        <v/>
      </c>
      <c r="C26">
        <f>"a"="A"</f>
        <v/>
      </c>
      <c r="D26" t="b">
        <v>1</v>
      </c>
      <c r="E26">
        <f>IF(ISLOGICAL(C26),IF(C26=D26,"OK","FAIL"),"FAIL")</f>
        <v/>
      </c>
    </row>
    <row r="27">
      <c r="A27" t="inlineStr">
        <is>
          <t>OPE026</t>
        </is>
      </c>
      <c r="B27" t="inlineStr">
        <is>
          <t>text ordering</t>
        </is>
      </c>
      <c r="C27">
        <f>"a"&lt;"b"</f>
        <v/>
      </c>
      <c r="D27" t="b">
        <v>1</v>
      </c>
      <c r="E27">
        <f>IF(ISLOGICAL(C27),IF(C27=D27,"OK","FAIL"),"FAIL")</f>
        <v/>
      </c>
    </row>
    <row r="28">
      <c r="A28" t="inlineStr">
        <is>
          <t>OPE027</t>
        </is>
      </c>
      <c r="B28" t="inlineStr"/>
      <c r="C28">
        <f>2&gt;10</f>
        <v/>
      </c>
      <c r="D28" t="b">
        <v>0</v>
      </c>
      <c r="E28">
        <f>IF(ISLOGICAL(C28),IF(C28=D28,"OK","FAIL"),"FAIL")</f>
        <v/>
      </c>
    </row>
    <row r="29">
      <c r="A29" t="inlineStr">
        <is>
          <t>OPE028</t>
        </is>
      </c>
      <c r="B29" t="inlineStr">
        <is>
          <t>any text sorts above any number</t>
        </is>
      </c>
      <c r="C29">
        <f>99999&lt;"a"</f>
        <v/>
      </c>
      <c r="D29" t="b">
        <v>1</v>
      </c>
      <c r="E29">
        <f>IF(ISLOGICAL(C29),IF(C29=D29,"OK","FAIL"),"FAIL")</f>
        <v/>
      </c>
    </row>
    <row r="30">
      <c r="A30" t="inlineStr">
        <is>
          <t>OPE029</t>
        </is>
      </c>
      <c r="B30" t="inlineStr">
        <is>
          <t>logicals sort above numbers</t>
        </is>
      </c>
      <c r="C30">
        <f>TRUE&gt;100</f>
        <v/>
      </c>
      <c r="D30" t="b">
        <v>1</v>
      </c>
      <c r="E30">
        <f>IF(ISLOGICAL(C30),IF(C30=D30,"OK","FAIL"),"FAIL")</f>
        <v/>
      </c>
    </row>
    <row r="31">
      <c r="A31" t="inlineStr">
        <is>
          <t>OPE030</t>
        </is>
      </c>
      <c r="B31" t="inlineStr"/>
      <c r="C31">
        <f>1/0</f>
        <v/>
      </c>
      <c r="D31" t="e">
        <v>#DIV/0!</v>
      </c>
      <c r="E31">
        <f>IF(IFERROR(ERROR.TYPE(C31),0)=2,"OK","FAIL")</f>
        <v/>
      </c>
    </row>
    <row r="32">
      <c r="A32" t="inlineStr">
        <is>
          <t>OPE031</t>
        </is>
      </c>
      <c r="B32" t="inlineStr"/>
      <c r="C32">
        <f>0/0</f>
        <v/>
      </c>
      <c r="D32" t="e">
        <v>#DIV/0!</v>
      </c>
      <c r="E32">
        <f>IF(IFERROR(ERROR.TYPE(C32),0)=2,"OK","FAIL")</f>
        <v/>
      </c>
    </row>
    <row r="33">
      <c r="A33" t="inlineStr">
        <is>
          <t>OPE032</t>
        </is>
      </c>
      <c r="B33" t="inlineStr">
        <is>
          <t>non-numeric text in arithmetic</t>
        </is>
      </c>
      <c r="C33">
        <f>"a"+1</f>
        <v/>
      </c>
      <c r="D33" t="e">
        <v>#VALUE!</v>
      </c>
      <c r="E33">
        <f>IF(IFERROR(ERROR.TYPE(C33),0)=3,"OK","FAIL")</f>
        <v/>
      </c>
    </row>
    <row r="34">
      <c r="A34" t="inlineStr">
        <is>
          <t>OPE033</t>
        </is>
      </c>
      <c r="B34" t="inlineStr">
        <is>
          <t>errors propagate</t>
        </is>
      </c>
      <c r="C34">
        <f>1/0+1</f>
        <v/>
      </c>
      <c r="D34" t="e">
        <v>#DIV/0!</v>
      </c>
      <c r="E34">
        <f>IF(IFERROR(ERROR.TYPE(C34),0)=2,"OK","FAIL")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MAT001</t>
        </is>
      </c>
      <c r="B2" t="inlineStr"/>
      <c r="C2">
        <f>ABS(-5)</f>
        <v/>
      </c>
      <c r="D2" t="n">
        <v>5</v>
      </c>
      <c r="E2">
        <f>IF(ISNUMBER(C2),IF(ABS(C2-D2)&lt;0.000000001,"OK","FAIL"),"FAIL")</f>
        <v/>
      </c>
    </row>
    <row r="3">
      <c r="A3" t="inlineStr">
        <is>
          <t>MAT002</t>
        </is>
      </c>
      <c r="B3" t="inlineStr">
        <is>
          <t>INT floors toward -inf</t>
        </is>
      </c>
      <c r="C3">
        <f>INT(-8.5)</f>
        <v/>
      </c>
      <c r="D3" t="n">
        <v>-9</v>
      </c>
      <c r="E3">
        <f>IF(ISNUMBER(C3),IF(ABS(C3-D3)&lt;0.000000001,"OK","FAIL"),"FAIL")</f>
        <v/>
      </c>
    </row>
    <row r="4">
      <c r="A4" t="inlineStr">
        <is>
          <t>MAT003</t>
        </is>
      </c>
      <c r="B4" t="inlineStr">
        <is>
          <t>TRUNC cuts toward zero (contrast INT)</t>
        </is>
      </c>
      <c r="C4">
        <f>TRUNC(-8.9)</f>
        <v/>
      </c>
      <c r="D4" t="n">
        <v>-8</v>
      </c>
      <c r="E4">
        <f>IF(ISNUMBER(C4),IF(ABS(C4-D4)&lt;0.000000001,"OK","FAIL"),"FAIL")</f>
        <v/>
      </c>
    </row>
    <row r="5">
      <c r="A5" t="inlineStr">
        <is>
          <t>MAT004</t>
        </is>
      </c>
      <c r="B5" t="inlineStr"/>
      <c r="C5">
        <f>TRUNC(3.14159,2)</f>
        <v/>
      </c>
      <c r="D5" t="n">
        <v>3.14</v>
      </c>
      <c r="E5">
        <f>IF(ISNUMBER(C5),IF(ABS(C5-D5)&lt;0.000000001,"OK","FAIL"),"FAIL")</f>
        <v/>
      </c>
    </row>
    <row r="6">
      <c r="A6" t="inlineStr">
        <is>
          <t>MAT005</t>
        </is>
      </c>
      <c r="B6" t="inlineStr">
        <is>
          <t>half away from zero</t>
        </is>
      </c>
      <c r="C6">
        <f>ROUND(2.5,0)</f>
        <v/>
      </c>
      <c r="D6" t="n">
        <v>3</v>
      </c>
      <c r="E6">
        <f>IF(ISNUMBER(C6),IF(ABS(C6-D6)&lt;0.000000001,"OK","FAIL"),"FAIL")</f>
        <v/>
      </c>
    </row>
    <row r="7">
      <c r="A7" t="inlineStr">
        <is>
          <t>MAT006</t>
        </is>
      </c>
      <c r="B7" t="inlineStr">
        <is>
          <t>half away from zero (negative)</t>
        </is>
      </c>
      <c r="C7">
        <f>ROUND(-2.5,0)</f>
        <v/>
      </c>
      <c r="D7" t="n">
        <v>-3</v>
      </c>
      <c r="E7">
        <f>IF(ISNUMBER(C7),IF(ABS(C7-D7)&lt;0.000000001,"OK","FAIL"),"FAIL")</f>
        <v/>
      </c>
    </row>
    <row r="8">
      <c r="A8" t="inlineStr">
        <is>
          <t>MAT007</t>
        </is>
      </c>
      <c r="B8" t="inlineStr"/>
      <c r="C8">
        <f>ROUND(2.4,0)</f>
        <v/>
      </c>
      <c r="D8" t="n">
        <v>2</v>
      </c>
      <c r="E8">
        <f>IF(ISNUMBER(C8),IF(ABS(C8-D8)&lt;0.000000001,"OK","FAIL"),"FAIL")</f>
        <v/>
      </c>
    </row>
    <row r="9">
      <c r="A9" t="inlineStr">
        <is>
          <t>MAT008</t>
        </is>
      </c>
      <c r="B9" t="inlineStr"/>
      <c r="C9">
        <f>ROUND(123.456,2)</f>
        <v/>
      </c>
      <c r="D9" t="n">
        <v>123.46</v>
      </c>
      <c r="E9">
        <f>IF(ISNUMBER(C9),IF(ABS(C9-D9)&lt;0.000000001,"OK","FAIL"),"FAIL")</f>
        <v/>
      </c>
    </row>
    <row r="10">
      <c r="A10" t="inlineStr">
        <is>
          <t>MAT009</t>
        </is>
      </c>
      <c r="B10" t="inlineStr">
        <is>
          <t>negative digits round to tens</t>
        </is>
      </c>
      <c r="C10">
        <f>ROUND(15,-1)</f>
        <v/>
      </c>
      <c r="D10" t="n">
        <v>20</v>
      </c>
      <c r="E10">
        <f>IF(ISNUMBER(C10),IF(ABS(C10-D10)&lt;0.000000001,"OK","FAIL"),"FAIL")</f>
        <v/>
      </c>
    </row>
    <row r="11">
      <c r="A11" t="inlineStr">
        <is>
          <t>MAT010</t>
        </is>
      </c>
      <c r="B11" t="inlineStr"/>
      <c r="C11">
        <f>ROUNDUP(2.01,0)</f>
        <v/>
      </c>
      <c r="D11" t="n">
        <v>3</v>
      </c>
      <c r="E11">
        <f>IF(ISNUMBER(C11),IF(ABS(C11-D11)&lt;0.000000001,"OK","FAIL"),"FAIL")</f>
        <v/>
      </c>
    </row>
    <row r="12">
      <c r="A12" t="inlineStr">
        <is>
          <t>MAT011</t>
        </is>
      </c>
      <c r="B12" t="inlineStr"/>
      <c r="C12">
        <f>ROUNDDOWN(2.99,0)</f>
        <v/>
      </c>
      <c r="D12" t="n">
        <v>2</v>
      </c>
      <c r="E12">
        <f>IF(ISNUMBER(C12),IF(ABS(C12-D12)&lt;0.000000001,"OK","FAIL"),"FAIL")</f>
        <v/>
      </c>
    </row>
    <row r="13">
      <c r="A13" t="inlineStr">
        <is>
          <t>MAT012</t>
        </is>
      </c>
      <c r="B13" t="inlineStr"/>
      <c r="C13">
        <f>MOD(10,3)</f>
        <v/>
      </c>
      <c r="D13" t="n">
        <v>1</v>
      </c>
      <c r="E13">
        <f>IF(ISNUMBER(C13),IF(ABS(C13-D13)&lt;0.000000001,"OK","FAIL"),"FAIL")</f>
        <v/>
      </c>
    </row>
    <row r="14">
      <c r="A14" t="inlineStr">
        <is>
          <t>MAT013</t>
        </is>
      </c>
      <c r="B14" t="inlineStr">
        <is>
          <t>result takes sign of divisor</t>
        </is>
      </c>
      <c r="C14">
        <f>MOD(-1,3)</f>
        <v/>
      </c>
      <c r="D14" t="n">
        <v>2</v>
      </c>
      <c r="E14">
        <f>IF(ISNUMBER(C14),IF(ABS(C14-D14)&lt;0.000000001,"OK","FAIL"),"FAIL")</f>
        <v/>
      </c>
    </row>
    <row r="15">
      <c r="A15" t="inlineStr">
        <is>
          <t>MAT014</t>
        </is>
      </c>
      <c r="B15" t="inlineStr">
        <is>
          <t>result takes sign of divisor</t>
        </is>
      </c>
      <c r="C15">
        <f>MOD(1,-3)</f>
        <v/>
      </c>
      <c r="D15" t="n">
        <v>-2</v>
      </c>
      <c r="E15">
        <f>IF(ISNUMBER(C15),IF(ABS(C15-D15)&lt;0.000000001,"OK","FAIL"),"FAIL")</f>
        <v/>
      </c>
    </row>
    <row r="16">
      <c r="A16" t="inlineStr">
        <is>
          <t>MAT015</t>
        </is>
      </c>
      <c r="B16" t="inlineStr"/>
      <c r="C16">
        <f>MOD(1,0)</f>
        <v/>
      </c>
      <c r="D16" t="e">
        <v>#DIV/0!</v>
      </c>
      <c r="E16">
        <f>IF(IFERROR(ERROR.TYPE(C16),0)=2,"OK","FAIL")</f>
        <v/>
      </c>
    </row>
    <row r="17">
      <c r="A17" t="inlineStr">
        <is>
          <t>MAT016</t>
        </is>
      </c>
      <c r="B17" t="inlineStr"/>
      <c r="C17">
        <f>QUOTIENT(10,3)</f>
        <v/>
      </c>
      <c r="D17" t="n">
        <v>3</v>
      </c>
      <c r="E17">
        <f>IF(ISNUMBER(C17),IF(ABS(C17-D17)&lt;0.000000001,"OK","FAIL"),"FAIL")</f>
        <v/>
      </c>
    </row>
    <row r="18">
      <c r="A18" t="inlineStr">
        <is>
          <t>MAT017</t>
        </is>
      </c>
      <c r="B18" t="inlineStr"/>
      <c r="C18">
        <f>CEILING(2.1,1)</f>
        <v/>
      </c>
      <c r="D18" t="n">
        <v>3</v>
      </c>
      <c r="E18">
        <f>IF(ISNUMBER(C18),IF(ABS(C18-D18)&lt;0.000000001,"OK","FAIL"),"FAIL")</f>
        <v/>
      </c>
    </row>
    <row r="19">
      <c r="A19" t="inlineStr">
        <is>
          <t>MAT018</t>
        </is>
      </c>
      <c r="B19" t="inlineStr">
        <is>
          <t>default rounds toward +inf</t>
        </is>
      </c>
      <c r="C19">
        <f>CEILING.MATH(-2.5)</f>
        <v/>
      </c>
      <c r="D19" t="n">
        <v>-2</v>
      </c>
      <c r="E19">
        <f>IF(ISNUMBER(C19),IF(ABS(C19-D19)&lt;0.000000001,"OK","FAIL"),"FAIL")</f>
        <v/>
      </c>
    </row>
    <row r="20">
      <c r="A20" t="inlineStr">
        <is>
          <t>MAT019</t>
        </is>
      </c>
      <c r="B20" t="inlineStr">
        <is>
          <t>rounds toward -inf</t>
        </is>
      </c>
      <c r="C20">
        <f>FLOOR.MATH(-2.5)</f>
        <v/>
      </c>
      <c r="D20" t="n">
        <v>-3</v>
      </c>
      <c r="E20">
        <f>IF(ISNUMBER(C20),IF(ABS(C20-D20)&lt;0.000000001,"OK","FAIL"),"FAIL")</f>
        <v/>
      </c>
    </row>
    <row r="21">
      <c r="A21" t="inlineStr">
        <is>
          <t>MAT020</t>
        </is>
      </c>
      <c r="B21" t="inlineStr"/>
      <c r="C21">
        <f>MROUND(7,3)</f>
        <v/>
      </c>
      <c r="D21" t="n">
        <v>6</v>
      </c>
      <c r="E21">
        <f>IF(ISNUMBER(C21),IF(ABS(C21-D21)&lt;0.000000001,"OK","FAIL"),"FAIL")</f>
        <v/>
      </c>
    </row>
    <row r="22">
      <c r="A22" t="inlineStr">
        <is>
          <t>MAT021</t>
        </is>
      </c>
      <c r="B22" t="inlineStr"/>
      <c r="C22">
        <f>MROUND(8,3)</f>
        <v/>
      </c>
      <c r="D22" t="n">
        <v>9</v>
      </c>
      <c r="E22">
        <f>IF(ISNUMBER(C22),IF(ABS(C22-D22)&lt;0.000000001,"OK","FAIL"),"FAIL")</f>
        <v/>
      </c>
    </row>
    <row r="23">
      <c r="A23" t="inlineStr">
        <is>
          <t>MAT022</t>
        </is>
      </c>
      <c r="B23" t="inlineStr"/>
      <c r="C23">
        <f>EVEN(3)</f>
        <v/>
      </c>
      <c r="D23" t="n">
        <v>4</v>
      </c>
      <c r="E23">
        <f>IF(ISNUMBER(C23),IF(ABS(C23-D23)&lt;0.000000001,"OK","FAIL"),"FAIL")</f>
        <v/>
      </c>
    </row>
    <row r="24">
      <c r="A24" t="inlineStr">
        <is>
          <t>MAT023</t>
        </is>
      </c>
      <c r="B24" t="inlineStr">
        <is>
          <t>away from zero</t>
        </is>
      </c>
      <c r="C24">
        <f>EVEN(-3)</f>
        <v/>
      </c>
      <c r="D24" t="n">
        <v>-4</v>
      </c>
      <c r="E24">
        <f>IF(ISNUMBER(C24),IF(ABS(C24-D24)&lt;0.000000001,"OK","FAIL"),"FAIL")</f>
        <v/>
      </c>
    </row>
    <row r="25">
      <c r="A25" t="inlineStr">
        <is>
          <t>MAT024</t>
        </is>
      </c>
      <c r="B25" t="inlineStr"/>
      <c r="C25">
        <f>ODD(4)</f>
        <v/>
      </c>
      <c r="D25" t="n">
        <v>5</v>
      </c>
      <c r="E25">
        <f>IF(ISNUMBER(C25),IF(ABS(C25-D25)&lt;0.000000001,"OK","FAIL"),"FAIL")</f>
        <v/>
      </c>
    </row>
    <row r="26">
      <c r="A26" t="inlineStr">
        <is>
          <t>MAT025</t>
        </is>
      </c>
      <c r="B26" t="inlineStr">
        <is>
          <t>away from zero</t>
        </is>
      </c>
      <c r="C26">
        <f>ODD(-4)</f>
        <v/>
      </c>
      <c r="D26" t="n">
        <v>-5</v>
      </c>
      <c r="E26">
        <f>IF(ISNUMBER(C26),IF(ABS(C26-D26)&lt;0.000000001,"OK","FAIL"),"FAIL")</f>
        <v/>
      </c>
    </row>
    <row r="27">
      <c r="A27" t="inlineStr">
        <is>
          <t>MAT026</t>
        </is>
      </c>
      <c r="B27" t="inlineStr"/>
      <c r="C27">
        <f>SIGN(-3)</f>
        <v/>
      </c>
      <c r="D27" t="n">
        <v>-1</v>
      </c>
      <c r="E27">
        <f>IF(ISNUMBER(C27),IF(ABS(C27-D27)&lt;0.000000001,"OK","FAIL"),"FAIL")</f>
        <v/>
      </c>
    </row>
    <row r="28">
      <c r="A28" t="inlineStr">
        <is>
          <t>MAT027</t>
        </is>
      </c>
      <c r="B28" t="inlineStr"/>
      <c r="C28">
        <f>SQRT(16)</f>
        <v/>
      </c>
      <c r="D28" t="n">
        <v>4</v>
      </c>
      <c r="E28">
        <f>IF(ISNUMBER(C28),IF(ABS(C28-D28)&lt;0.000000001,"OK","FAIL"),"FAIL")</f>
        <v/>
      </c>
    </row>
    <row r="29">
      <c r="A29" t="inlineStr">
        <is>
          <t>MAT028</t>
        </is>
      </c>
      <c r="B29" t="inlineStr"/>
      <c r="C29">
        <f>SQRT(-4)</f>
        <v/>
      </c>
      <c r="D29" t="e">
        <v>#NUM!</v>
      </c>
      <c r="E29">
        <f>IF(IFERROR(ERROR.TYPE(C29),0)=6,"OK","FAIL")</f>
        <v/>
      </c>
    </row>
    <row r="30">
      <c r="A30" t="inlineStr">
        <is>
          <t>MAT029</t>
        </is>
      </c>
      <c r="B30" t="inlineStr"/>
      <c r="C30">
        <f>POWER(2,10)</f>
        <v/>
      </c>
      <c r="D30" t="n">
        <v>1024</v>
      </c>
      <c r="E30">
        <f>IF(ISNUMBER(C30),IF(ABS(C30-D30)&lt;0.000000001,"OK","FAIL"),"FAIL")</f>
        <v/>
      </c>
    </row>
    <row r="31">
      <c r="A31" t="inlineStr">
        <is>
          <t>MAT030</t>
        </is>
      </c>
      <c r="B31" t="inlineStr"/>
      <c r="C31">
        <f>EXP(0)</f>
        <v/>
      </c>
      <c r="D31" t="n">
        <v>1</v>
      </c>
      <c r="E31">
        <f>IF(ISNUMBER(C31),IF(ABS(C31-D31)&lt;0.000000001,"OK","FAIL"),"FAIL")</f>
        <v/>
      </c>
    </row>
    <row r="32">
      <c r="A32" t="inlineStr">
        <is>
          <t>MAT031</t>
        </is>
      </c>
      <c r="B32" t="inlineStr"/>
      <c r="C32">
        <f>LN(EXP(2))</f>
        <v/>
      </c>
      <c r="D32" t="n">
        <v>2</v>
      </c>
      <c r="E32">
        <f>IF(ISNUMBER(C32),IF(ABS(C32-D32)&lt;0.000000001,"OK","FAIL"),"FAIL")</f>
        <v/>
      </c>
    </row>
    <row r="33">
      <c r="A33" t="inlineStr">
        <is>
          <t>MAT032</t>
        </is>
      </c>
      <c r="B33" t="inlineStr"/>
      <c r="C33">
        <f>LOG(8,2)</f>
        <v/>
      </c>
      <c r="D33" t="n">
        <v>3</v>
      </c>
      <c r="E33">
        <f>IF(ISNUMBER(C33),IF(ABS(C33-D33)&lt;0.000000001,"OK","FAIL"),"FAIL")</f>
        <v/>
      </c>
    </row>
    <row r="34">
      <c r="A34" t="inlineStr">
        <is>
          <t>MAT033</t>
        </is>
      </c>
      <c r="B34" t="inlineStr"/>
      <c r="C34">
        <f>LOG(-1)</f>
        <v/>
      </c>
      <c r="D34" t="e">
        <v>#NUM!</v>
      </c>
      <c r="E34">
        <f>IF(IFERROR(ERROR.TYPE(C34),0)=6,"OK","FAIL")</f>
        <v/>
      </c>
    </row>
    <row r="35">
      <c r="A35" t="inlineStr">
        <is>
          <t>MAT034</t>
        </is>
      </c>
      <c r="B35" t="inlineStr"/>
      <c r="C35">
        <f>LOG10(1000)</f>
        <v/>
      </c>
      <c r="D35" t="n">
        <v>3</v>
      </c>
      <c r="E35">
        <f>IF(ISNUMBER(C35),IF(ABS(C35-D35)&lt;0.000000001,"OK","FAIL"),"FAIL")</f>
        <v/>
      </c>
    </row>
    <row r="36">
      <c r="A36" t="inlineStr">
        <is>
          <t>MAT035</t>
        </is>
      </c>
      <c r="B36" t="inlineStr"/>
      <c r="C36">
        <f>PI()</f>
        <v/>
      </c>
      <c r="D36" t="n">
        <v>3.141592653589793</v>
      </c>
      <c r="E36">
        <f>IF(ISNUMBER(C36),IF(ABS(C36-D36)&lt;0.000000001,"OK","FAIL"),"FAIL")</f>
        <v/>
      </c>
    </row>
    <row r="37">
      <c r="A37" t="inlineStr">
        <is>
          <t>MAT036</t>
        </is>
      </c>
      <c r="B37" t="inlineStr"/>
      <c r="C37">
        <f>SIN(0)</f>
        <v/>
      </c>
      <c r="D37" t="n">
        <v>0</v>
      </c>
      <c r="E37">
        <f>IF(ISNUMBER(C37),IF(ABS(C37-D37)&lt;0.000000001,"OK","FAIL"),"FAIL")</f>
        <v/>
      </c>
    </row>
    <row r="38">
      <c r="A38" t="inlineStr">
        <is>
          <t>MAT037</t>
        </is>
      </c>
      <c r="B38" t="inlineStr"/>
      <c r="C38">
        <f>COS(0)</f>
        <v/>
      </c>
      <c r="D38" t="n">
        <v>1</v>
      </c>
      <c r="E38">
        <f>IF(ISNUMBER(C38),IF(ABS(C38-D38)&lt;0.000000001,"OK","FAIL"),"FAIL")</f>
        <v/>
      </c>
    </row>
    <row r="39">
      <c r="A39" t="inlineStr">
        <is>
          <t>MAT038</t>
        </is>
      </c>
      <c r="B39" t="inlineStr"/>
      <c r="C39">
        <f>SIN(PI()/2)</f>
        <v/>
      </c>
      <c r="D39" t="n">
        <v>1</v>
      </c>
      <c r="E39">
        <f>IF(ISNUMBER(C39),IF(ABS(C39-D39)&lt;0.000000001,"OK","FAIL"),"FAIL")</f>
        <v/>
      </c>
    </row>
    <row r="40">
      <c r="A40" t="inlineStr">
        <is>
          <t>MAT039</t>
        </is>
      </c>
      <c r="B40" t="inlineStr"/>
      <c r="C40">
        <f>TAN(PI()/4)</f>
        <v/>
      </c>
      <c r="D40" t="n">
        <v>1</v>
      </c>
      <c r="E40">
        <f>IF(ISNUMBER(C40),IF(ABS(C40-D40)&lt;0.000000001,"OK","FAIL"),"FAIL")</f>
        <v/>
      </c>
    </row>
    <row r="41">
      <c r="A41" t="inlineStr">
        <is>
          <t>MAT040</t>
        </is>
      </c>
      <c r="B41" t="inlineStr"/>
      <c r="C41">
        <f>DEGREES(PI())</f>
        <v/>
      </c>
      <c r="D41" t="n">
        <v>180</v>
      </c>
      <c r="E41">
        <f>IF(ISNUMBER(C41),IF(ABS(C41-D41)&lt;0.000000001,"OK","FAIL"),"FAIL")</f>
        <v/>
      </c>
    </row>
    <row r="42">
      <c r="A42" t="inlineStr">
        <is>
          <t>MAT041</t>
        </is>
      </c>
      <c r="B42" t="inlineStr"/>
      <c r="C42">
        <f>RADIANS(180)</f>
        <v/>
      </c>
      <c r="D42" t="n">
        <v>3.141592653589793</v>
      </c>
      <c r="E42">
        <f>IF(ISNUMBER(C42),IF(ABS(C42-D42)&lt;0.000000001,"OK","FAIL"),"FAIL")</f>
        <v/>
      </c>
    </row>
    <row r="43">
      <c r="A43" t="inlineStr">
        <is>
          <t>MAT042</t>
        </is>
      </c>
      <c r="B43" t="inlineStr"/>
      <c r="C43">
        <f>FACT(5)</f>
        <v/>
      </c>
      <c r="D43" t="n">
        <v>120</v>
      </c>
      <c r="E43">
        <f>IF(ISNUMBER(C43),IF(ABS(C43-D43)&lt;0.000000001,"OK","FAIL"),"FAIL")</f>
        <v/>
      </c>
    </row>
    <row r="44">
      <c r="A44" t="inlineStr">
        <is>
          <t>MAT043</t>
        </is>
      </c>
      <c r="B44" t="inlineStr"/>
      <c r="C44">
        <f>FACTDOUBLE(6)</f>
        <v/>
      </c>
      <c r="D44" t="n">
        <v>48</v>
      </c>
      <c r="E44">
        <f>IF(ISNUMBER(C44),IF(ABS(C44-D44)&lt;0.000000001,"OK","FAIL"),"FAIL")</f>
        <v/>
      </c>
    </row>
    <row r="45">
      <c r="A45" t="inlineStr">
        <is>
          <t>MAT044</t>
        </is>
      </c>
      <c r="B45" t="inlineStr"/>
      <c r="C45">
        <f>COMBIN(5,2)</f>
        <v/>
      </c>
      <c r="D45" t="n">
        <v>10</v>
      </c>
      <c r="E45">
        <f>IF(ISNUMBER(C45),IF(ABS(C45-D45)&lt;0.000000001,"OK","FAIL"),"FAIL")</f>
        <v/>
      </c>
    </row>
    <row r="46">
      <c r="A46" t="inlineStr">
        <is>
          <t>MAT045</t>
        </is>
      </c>
      <c r="B46" t="inlineStr"/>
      <c r="C46">
        <f>GCD(12,18)</f>
        <v/>
      </c>
      <c r="D46" t="n">
        <v>6</v>
      </c>
      <c r="E46">
        <f>IF(ISNUMBER(C46),IF(ABS(C46-D46)&lt;0.000000001,"OK","FAIL"),"FAIL")</f>
        <v/>
      </c>
    </row>
    <row r="47">
      <c r="A47" t="inlineStr">
        <is>
          <t>MAT046</t>
        </is>
      </c>
      <c r="B47" t="inlineStr"/>
      <c r="C47">
        <f>LCM(4,6)</f>
        <v/>
      </c>
      <c r="D47" t="n">
        <v>12</v>
      </c>
      <c r="E47">
        <f>IF(ISNUMBER(C47),IF(ABS(C47-D47)&lt;0.000000001,"OK","FAIL"),"FAIL")</f>
        <v/>
      </c>
    </row>
    <row r="48">
      <c r="A48" t="inlineStr">
        <is>
          <t>MAT047</t>
        </is>
      </c>
      <c r="B48" t="inlineStr"/>
      <c r="C48">
        <f>SUMSQ(3,4)</f>
        <v/>
      </c>
      <c r="D48" t="n">
        <v>25</v>
      </c>
      <c r="E48">
        <f>IF(ISNUMBER(C48),IF(ABS(C48-D48)&lt;0.000000001,"OK","FAIL"),"FAIL")</f>
        <v/>
      </c>
    </row>
    <row r="49">
      <c r="A49" t="inlineStr">
        <is>
          <t>MAT048</t>
        </is>
      </c>
      <c r="B49" t="inlineStr"/>
      <c r="C49">
        <f>PRODUCT(2,3,4)</f>
        <v/>
      </c>
      <c r="D49" t="n">
        <v>24</v>
      </c>
      <c r="E49">
        <f>IF(ISNUMBER(C49),IF(ABS(C49-D49)&lt;0.000000001,"OK","FAIL"),"FAIL")</f>
        <v/>
      </c>
    </row>
    <row r="50">
      <c r="A50" t="inlineStr">
        <is>
          <t>MAT049</t>
        </is>
      </c>
      <c r="B50" t="inlineStr">
        <is>
          <t>range sum</t>
        </is>
      </c>
      <c r="C50">
        <f>SUM(Data!E1:E8)</f>
        <v/>
      </c>
      <c r="D50" t="n">
        <v>39</v>
      </c>
      <c r="E50">
        <f>IF(ISNUMBER(C50),IF(ABS(C50-D50)&lt;0.000000001,"OK","FAIL"),"FAIL")</f>
        <v/>
      </c>
    </row>
    <row r="51">
      <c r="A51" t="inlineStr">
        <is>
          <t>MAT050</t>
        </is>
      </c>
      <c r="B51" t="inlineStr">
        <is>
          <t>array constant</t>
        </is>
      </c>
      <c r="C51">
        <f>SUM({1,2,3,4})</f>
        <v/>
      </c>
      <c r="D51" t="n">
        <v>10</v>
      </c>
      <c r="E51">
        <f>IF(ISNUMBER(C51),IF(ABS(C51-D51)&lt;0.000000001,"OK","FAIL"),"FAIL")</f>
        <v/>
      </c>
    </row>
    <row r="52">
      <c r="A52" t="inlineStr">
        <is>
          <t>MAT051</t>
        </is>
      </c>
      <c r="B52" t="inlineStr"/>
      <c r="C52">
        <f>SUMIF(Data!E1:E8,"&gt;4")</f>
        <v/>
      </c>
      <c r="D52" t="n">
        <v>29</v>
      </c>
      <c r="E52">
        <f>IF(ISNUMBER(C52),IF(ABS(C52-D52)&lt;0.000000001,"OK","FAIL"),"FAIL")</f>
        <v/>
      </c>
    </row>
    <row r="53">
      <c r="A53" t="inlineStr">
        <is>
          <t>MAT052</t>
        </is>
      </c>
      <c r="B53" t="inlineStr"/>
      <c r="C53">
        <f>SUMIFS(Data!B2:B6,Data!A2:A6,"Banana")</f>
        <v/>
      </c>
      <c r="D53" t="n">
        <v>20</v>
      </c>
      <c r="E53">
        <f>IF(ISNUMBER(C53),IF(ABS(C53-D53)&lt;0.000000001,"OK","FAIL"),"FAIL")</f>
        <v/>
      </c>
    </row>
    <row r="54">
      <c r="A54" t="inlineStr">
        <is>
          <t>MAT053</t>
        </is>
      </c>
      <c r="B54" t="inlineStr"/>
      <c r="C54">
        <f>SUBTOTAL(9,Data!E1:E8)</f>
        <v/>
      </c>
      <c r="D54" t="n">
        <v>39</v>
      </c>
      <c r="E54">
        <f>IF(ISNUMBER(C54),IF(ABS(C54-D54)&lt;0.000000001,"OK","FAIL"),"FAIL")</f>
        <v/>
      </c>
    </row>
    <row r="55">
      <c r="A55" t="inlineStr">
        <is>
          <t>MAT054</t>
        </is>
      </c>
      <c r="B55" t="inlineStr"/>
      <c r="C55">
        <f>SUMPRODUCT(Data!B2:B6,Data!C2:C6)</f>
        <v/>
      </c>
      <c r="D55" t="n">
        <v>149.5</v>
      </c>
      <c r="E55">
        <f>IF(ISNUMBER(C55),IF(ABS(C55-D55)&lt;0.000000001,"OK","FAIL"),"FAIL")</f>
        <v/>
      </c>
    </row>
    <row r="56">
      <c r="A56" t="inlineStr">
        <is>
          <t>MAT055</t>
        </is>
      </c>
      <c r="B56" t="inlineStr">
        <is>
          <t>single array just sums</t>
        </is>
      </c>
      <c r="C56">
        <f>SUMPRODUCT(Data!E1:E8)</f>
        <v/>
      </c>
      <c r="D56" t="n">
        <v>39</v>
      </c>
      <c r="E56">
        <f>IF(ISNUMBER(C56),IF(ABS(C56-D56)&lt;0.000000001,"OK","FAIL"),"FAIL")</f>
        <v/>
      </c>
    </row>
    <row r="57">
      <c r="A57" t="inlineStr">
        <is>
          <t>MAT056</t>
        </is>
      </c>
      <c r="B57" t="inlineStr">
        <is>
          <t>text elements count as 0</t>
        </is>
      </c>
      <c r="C57">
        <f>SUMPRODUCT(Data!A2:A6,Data!B2:B6)</f>
        <v/>
      </c>
      <c r="D57" t="n">
        <v>0</v>
      </c>
      <c r="E57">
        <f>IF(ISNUMBER(C57),IF(ABS(C57-D57)&lt;0.000000001,"OK","FAIL"),"FAIL")</f>
        <v/>
      </c>
    </row>
    <row r="58">
      <c r="A58" t="inlineStr">
        <is>
          <t>MAT057</t>
        </is>
      </c>
      <c r="B58" t="inlineStr">
        <is>
          <t>dimension mismatch</t>
        </is>
      </c>
      <c r="C58">
        <f>SUMPRODUCT(Data!B2:B6,Data!C2:C5)</f>
        <v/>
      </c>
      <c r="D58" t="e">
        <v>#VALUE!</v>
      </c>
      <c r="E58">
        <f>IF(IFERROR(ERROR.TYPE(C58),0)=3,"OK","FAIL")</f>
        <v/>
      </c>
    </row>
    <row r="59">
      <c r="A59" t="inlineStr">
        <is>
          <t>MAT058</t>
        </is>
      </c>
      <c r="B59" t="inlineStr"/>
      <c r="C59">
        <f>ROMAN(1990)</f>
        <v/>
      </c>
      <c r="D59" t="inlineStr">
        <is>
          <t>MCMXC</t>
        </is>
      </c>
      <c r="E59">
        <f>IF(ISTEXT(C59),IF(EXACT(C59,D59),"OK","FAIL"),"FAIL")</f>
        <v/>
      </c>
    </row>
    <row r="60">
      <c r="A60" t="inlineStr">
        <is>
          <t>MAT059</t>
        </is>
      </c>
      <c r="B60" t="inlineStr"/>
      <c r="C60">
        <f>ARABIC("XIV")</f>
        <v/>
      </c>
      <c r="D60" t="n">
        <v>14</v>
      </c>
      <c r="E60">
        <f>IF(ISNUMBER(C60),IF(ABS(C60-D60)&lt;0.000000001,"OK","FAIL"),"FAIL")</f>
        <v/>
      </c>
    </row>
    <row r="61">
      <c r="A61" t="inlineStr">
        <is>
          <t>MAT060</t>
        </is>
      </c>
      <c r="B61" t="inlineStr"/>
      <c r="C61">
        <f>BASE(255,16)</f>
        <v/>
      </c>
      <c r="D61" t="inlineStr">
        <is>
          <t>FF</t>
        </is>
      </c>
      <c r="E61">
        <f>IF(ISTEXT(C61),IF(EXACT(C61,D61),"OK","FAIL"),"FAIL")</f>
        <v/>
      </c>
    </row>
    <row r="62">
      <c r="A62" t="inlineStr">
        <is>
          <t>MAT061</t>
        </is>
      </c>
      <c r="B62" t="inlineStr"/>
      <c r="C62">
        <f>DECIMAL("FF",16)</f>
        <v/>
      </c>
      <c r="D62" t="n">
        <v>255</v>
      </c>
      <c r="E62">
        <f>IF(ISNUMBER(C62),IF(ABS(C62-D62)&lt;0.000000001,"OK","FAIL"),"FAIL")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TEX001</t>
        </is>
      </c>
      <c r="B2" t="inlineStr"/>
      <c r="C2">
        <f>LEN("hello")</f>
        <v/>
      </c>
      <c r="D2" t="n">
        <v>5</v>
      </c>
      <c r="E2">
        <f>IF(ISNUMBER(C2),IF(ABS(C2-D2)&lt;0.000000001,"OK","FAIL"),"FAIL")</f>
        <v/>
      </c>
    </row>
    <row r="3">
      <c r="A3" t="inlineStr">
        <is>
          <t>TEX002</t>
        </is>
      </c>
      <c r="B3" t="inlineStr"/>
      <c r="C3">
        <f>LEN("")</f>
        <v/>
      </c>
      <c r="D3" t="n">
        <v>0</v>
      </c>
      <c r="E3">
        <f>IF(ISNUMBER(C3),IF(ABS(C3-D3)&lt;0.000000001,"OK","FAIL"),"FAIL")</f>
        <v/>
      </c>
    </row>
    <row r="4">
      <c r="A4" t="inlineStr">
        <is>
          <t>TEX003</t>
        </is>
      </c>
      <c r="B4" t="inlineStr"/>
      <c r="C4">
        <f>LEFT("spreadsheet",6)</f>
        <v/>
      </c>
      <c r="D4" t="inlineStr">
        <is>
          <t>spread</t>
        </is>
      </c>
      <c r="E4">
        <f>IF(ISTEXT(C4),IF(EXACT(C4,D4),"OK","FAIL"),"FAIL")</f>
        <v/>
      </c>
    </row>
    <row r="5">
      <c r="A5" t="inlineStr">
        <is>
          <t>TEX004</t>
        </is>
      </c>
      <c r="B5" t="inlineStr"/>
      <c r="C5">
        <f>RIGHT("spreadsheet",5)</f>
        <v/>
      </c>
      <c r="D5" t="inlineStr">
        <is>
          <t>sheet</t>
        </is>
      </c>
      <c r="E5">
        <f>IF(ISTEXT(C5),IF(EXACT(C5,D5),"OK","FAIL"),"FAIL")</f>
        <v/>
      </c>
    </row>
    <row r="6">
      <c r="A6" t="inlineStr">
        <is>
          <t>TEX005</t>
        </is>
      </c>
      <c r="B6" t="inlineStr"/>
      <c r="C6">
        <f>MID("spreadsheet",7,5)</f>
        <v/>
      </c>
      <c r="D6" t="inlineStr">
        <is>
          <t>sheet</t>
        </is>
      </c>
      <c r="E6">
        <f>IF(ISTEXT(C6),IF(EXACT(C6,D6),"OK","FAIL"),"FAIL")</f>
        <v/>
      </c>
    </row>
    <row r="7">
      <c r="A7" t="inlineStr">
        <is>
          <t>TEX006</t>
        </is>
      </c>
      <c r="B7" t="inlineStr"/>
      <c r="C7">
        <f>LOWER("MiXeD")</f>
        <v/>
      </c>
      <c r="D7" t="inlineStr">
        <is>
          <t>mixed</t>
        </is>
      </c>
      <c r="E7">
        <f>IF(ISTEXT(C7),IF(EXACT(C7,D7),"OK","FAIL"),"FAIL")</f>
        <v/>
      </c>
    </row>
    <row r="8">
      <c r="A8" t="inlineStr">
        <is>
          <t>TEX007</t>
        </is>
      </c>
      <c r="B8" t="inlineStr"/>
      <c r="C8">
        <f>UPPER("mixed")</f>
        <v/>
      </c>
      <c r="D8" t="inlineStr">
        <is>
          <t>MIXED</t>
        </is>
      </c>
      <c r="E8">
        <f>IF(ISTEXT(C8),IF(EXACT(C8,D8),"OK","FAIL"),"FAIL")</f>
        <v/>
      </c>
    </row>
    <row r="9">
      <c r="A9" t="inlineStr">
        <is>
          <t>TEX008</t>
        </is>
      </c>
      <c r="B9" t="inlineStr">
        <is>
          <t>collapses inner runs too</t>
        </is>
      </c>
      <c r="C9">
        <f>TRIM("  a  b  ")</f>
        <v/>
      </c>
      <c r="D9" t="inlineStr">
        <is>
          <t>a b</t>
        </is>
      </c>
      <c r="E9">
        <f>IF(ISTEXT(C9),IF(EXACT(C9,D9),"OK","FAIL"),"FAIL")</f>
        <v/>
      </c>
    </row>
    <row r="10">
      <c r="A10" t="inlineStr">
        <is>
          <t>TEX009</t>
        </is>
      </c>
      <c r="B10" t="inlineStr">
        <is>
          <t>trims '  padded  '</t>
        </is>
      </c>
      <c r="C10">
        <f>LEN(TRIM(Data!H2))</f>
        <v/>
      </c>
      <c r="D10" t="n">
        <v>6</v>
      </c>
      <c r="E10">
        <f>IF(ISNUMBER(C10),IF(ABS(C10-D10)&lt;0.000000001,"OK","FAIL"),"FAIL")</f>
        <v/>
      </c>
    </row>
    <row r="11">
      <c r="A11" t="inlineStr">
        <is>
          <t>TEX010</t>
        </is>
      </c>
      <c r="B11" t="inlineStr"/>
      <c r="C11">
        <f>REPT("ab",3)</f>
        <v/>
      </c>
      <c r="D11" t="inlineStr">
        <is>
          <t>ababab</t>
        </is>
      </c>
      <c r="E11">
        <f>IF(ISTEXT(C11),IF(EXACT(C11,D11),"OK","FAIL"),"FAIL")</f>
        <v/>
      </c>
    </row>
    <row r="12">
      <c r="A12" t="inlineStr">
        <is>
          <t>TEX011</t>
        </is>
      </c>
      <c r="B12" t="inlineStr">
        <is>
          <t>EXACT is case-sensitive</t>
        </is>
      </c>
      <c r="C12">
        <f>EXACT("a","A")</f>
        <v/>
      </c>
      <c r="D12" t="b">
        <v>0</v>
      </c>
      <c r="E12">
        <f>IF(ISLOGICAL(C12),IF(C12=D12,"OK","FAIL"),"FAIL")</f>
        <v/>
      </c>
    </row>
    <row r="13">
      <c r="A13" t="inlineStr">
        <is>
          <t>TEX012</t>
        </is>
      </c>
      <c r="B13" t="inlineStr"/>
      <c r="C13">
        <f>CONCAT("a","b","c")</f>
        <v/>
      </c>
      <c r="D13" t="inlineStr">
        <is>
          <t>abc</t>
        </is>
      </c>
      <c r="E13">
        <f>IF(ISTEXT(C13),IF(EXACT(C13,D13),"OK","FAIL"),"FAIL")</f>
        <v/>
      </c>
    </row>
    <row r="14">
      <c r="A14" t="inlineStr">
        <is>
          <t>TEX013</t>
        </is>
      </c>
      <c r="B14" t="inlineStr"/>
      <c r="C14">
        <f>CONCATENATE("x",1)</f>
        <v/>
      </c>
      <c r="D14" t="inlineStr">
        <is>
          <t>x1</t>
        </is>
      </c>
      <c r="E14">
        <f>IF(ISTEXT(C14),IF(EXACT(C14,D14),"OK","FAIL"),"FAIL")</f>
        <v/>
      </c>
    </row>
    <row r="15">
      <c r="A15" t="inlineStr">
        <is>
          <t>TEX014</t>
        </is>
      </c>
      <c r="B15" t="inlineStr"/>
      <c r="C15">
        <f>FIND("b","abcabc")</f>
        <v/>
      </c>
      <c r="D15" t="n">
        <v>2</v>
      </c>
      <c r="E15">
        <f>IF(ISNUMBER(C15),IF(ABS(C15-D15)&lt;0.000000001,"OK","FAIL"),"FAIL")</f>
        <v/>
      </c>
    </row>
    <row r="16">
      <c r="A16" t="inlineStr">
        <is>
          <t>TEX015</t>
        </is>
      </c>
      <c r="B16" t="inlineStr">
        <is>
          <t>start position</t>
        </is>
      </c>
      <c r="C16">
        <f>FIND("b","abcabc",3)</f>
        <v/>
      </c>
      <c r="D16" t="n">
        <v>5</v>
      </c>
      <c r="E16">
        <f>IF(ISNUMBER(C16),IF(ABS(C16-D16)&lt;0.000000001,"OK","FAIL"),"FAIL")</f>
        <v/>
      </c>
    </row>
    <row r="17">
      <c r="A17" t="inlineStr">
        <is>
          <t>TEX016</t>
        </is>
      </c>
      <c r="B17" t="inlineStr">
        <is>
          <t>FIND is case-sensitive</t>
        </is>
      </c>
      <c r="C17">
        <f>FIND("B","abc")</f>
        <v/>
      </c>
      <c r="D17" t="e">
        <v>#VALUE!</v>
      </c>
      <c r="E17">
        <f>IF(IFERROR(ERROR.TYPE(C17),0)=3,"OK","FAIL")</f>
        <v/>
      </c>
    </row>
    <row r="18">
      <c r="A18" t="inlineStr">
        <is>
          <t>TEX017</t>
        </is>
      </c>
      <c r="B18" t="inlineStr">
        <is>
          <t>SEARCH is case-insensitive</t>
        </is>
      </c>
      <c r="C18">
        <f>SEARCH("B","abc")</f>
        <v/>
      </c>
      <c r="D18" t="n">
        <v>2</v>
      </c>
      <c r="E18">
        <f>IF(ISNUMBER(C18),IF(ABS(C18-D18)&lt;0.000000001,"OK","FAIL"),"FAIL")</f>
        <v/>
      </c>
    </row>
    <row r="19">
      <c r="A19" t="inlineStr">
        <is>
          <t>TEX018</t>
        </is>
      </c>
      <c r="B19" t="inlineStr"/>
      <c r="C19">
        <f>SUBSTITUTE("aaa","a","b")</f>
        <v/>
      </c>
      <c r="D19" t="inlineStr">
        <is>
          <t>bbb</t>
        </is>
      </c>
      <c r="E19">
        <f>IF(ISTEXT(C19),IF(EXACT(C19,D19),"OK","FAIL"),"FAIL")</f>
        <v/>
      </c>
    </row>
    <row r="20">
      <c r="A20" t="inlineStr">
        <is>
          <t>TEX019</t>
        </is>
      </c>
      <c r="B20" t="inlineStr">
        <is>
          <t>nth instance only</t>
        </is>
      </c>
      <c r="C20">
        <f>SUBSTITUTE("aaa","a","b",2)</f>
        <v/>
      </c>
      <c r="D20" t="inlineStr">
        <is>
          <t>aba</t>
        </is>
      </c>
      <c r="E20">
        <f>IF(ISTEXT(C20),IF(EXACT(C20,D20),"OK","FAIL"),"FAIL")</f>
        <v/>
      </c>
    </row>
    <row r="21">
      <c r="A21" t="inlineStr">
        <is>
          <t>TEX020</t>
        </is>
      </c>
      <c r="B21" t="inlineStr"/>
      <c r="C21">
        <f>T("x")</f>
        <v/>
      </c>
      <c r="D21" t="inlineStr">
        <is>
          <t>x</t>
        </is>
      </c>
      <c r="E21">
        <f>IF(ISTEXT(C21),IF(EXACT(C21,D21),"OK","FAIL"),"FAIL")</f>
        <v/>
      </c>
    </row>
    <row r="22">
      <c r="A22" t="inlineStr">
        <is>
          <t>TEX021</t>
        </is>
      </c>
      <c r="B22" t="inlineStr"/>
      <c r="C22">
        <f>VALUE("42")</f>
        <v/>
      </c>
      <c r="D22" t="n">
        <v>42</v>
      </c>
      <c r="E22">
        <f>IF(ISNUMBER(C22),IF(ABS(C22-D22)&lt;0.000000001,"OK","FAIL"),"FAIL")</f>
        <v/>
      </c>
    </row>
    <row r="23">
      <c r="A23" t="inlineStr">
        <is>
          <t>TEX022</t>
        </is>
      </c>
      <c r="B23" t="inlineStr"/>
      <c r="C23">
        <f>VALUE("3.14")</f>
        <v/>
      </c>
      <c r="D23" t="n">
        <v>3.14</v>
      </c>
      <c r="E23">
        <f>IF(ISNUMBER(C23),IF(ABS(C23-D23)&lt;0.000000001,"OK","FAIL"),"FAIL")</f>
        <v/>
      </c>
    </row>
    <row r="24">
      <c r="A24" t="inlineStr">
        <is>
          <t>TEX023</t>
        </is>
      </c>
      <c r="B24" t="inlineStr"/>
      <c r="C24">
        <f>TEXT(1234.5678,"0.00")</f>
        <v/>
      </c>
      <c r="D24" t="inlineStr">
        <is>
          <t>1234.57</t>
        </is>
      </c>
      <c r="E24">
        <f>IF(ISTEXT(C24),IF(EXACT(C24,D24),"OK","FAIL"),"FAIL")</f>
        <v/>
      </c>
    </row>
    <row r="25">
      <c r="A25" t="inlineStr">
        <is>
          <t>TEX024</t>
        </is>
      </c>
      <c r="B25" t="inlineStr"/>
      <c r="C25">
        <f>TEXT(0.25,"0%")</f>
        <v/>
      </c>
      <c r="D25" t="inlineStr">
        <is>
          <t>25%</t>
        </is>
      </c>
      <c r="E25">
        <f>IF(ISTEXT(C25),IF(EXACT(C25,D25),"OK","FAIL"),"FAIL")</f>
        <v/>
      </c>
    </row>
    <row r="26">
      <c r="A26" t="inlineStr">
        <is>
          <t>TEX025</t>
        </is>
      </c>
      <c r="B26" t="inlineStr"/>
      <c r="C26">
        <f>TEXT(DATE(2026,8,3),"yyyy-mm-dd")</f>
        <v/>
      </c>
      <c r="D26" t="inlineStr">
        <is>
          <t>2026-08-03</t>
        </is>
      </c>
      <c r="E26">
        <f>IF(ISTEXT(C26),IF(EXACT(C26,D26),"OK","FAIL"),"FAIL")</f>
        <v/>
      </c>
    </row>
    <row r="27">
      <c r="A27" t="inlineStr">
        <is>
          <t>TEX026</t>
        </is>
      </c>
      <c r="B27" t="inlineStr"/>
      <c r="C27">
        <f>CHAR(65)</f>
        <v/>
      </c>
      <c r="D27" t="inlineStr">
        <is>
          <t>A</t>
        </is>
      </c>
      <c r="E27">
        <f>IF(ISTEXT(C27),IF(EXACT(C27,D27),"OK","FAIL"),"FAIL")</f>
        <v/>
      </c>
    </row>
    <row r="28">
      <c r="A28" t="inlineStr">
        <is>
          <t>TEX027</t>
        </is>
      </c>
      <c r="B28" t="inlineStr"/>
      <c r="C28">
        <f>UNICODE("A")</f>
        <v/>
      </c>
      <c r="D28" t="n">
        <v>65</v>
      </c>
      <c r="E28">
        <f>IF(ISNUMBER(C28),IF(ABS(C28-D28)&lt;0.000000001,"OK","FAIL"),"FAIL")</f>
        <v/>
      </c>
    </row>
    <row r="29">
      <c r="A29" t="inlineStr">
        <is>
          <t>TEX028</t>
        </is>
      </c>
      <c r="B29" t="inlineStr"/>
      <c r="C29">
        <f>TEXTJOIN("-",TRUE,"a","b","c")</f>
        <v/>
      </c>
      <c r="D29" t="inlineStr">
        <is>
          <t>a-b-c</t>
        </is>
      </c>
      <c r="E29">
        <f>IF(ISTEXT(C29),IF(EXACT(C29,D29),"OK","FAIL"),"FAIL")</f>
        <v/>
      </c>
    </row>
    <row r="30">
      <c r="A30" t="inlineStr">
        <is>
          <t>TEX029</t>
        </is>
      </c>
      <c r="B30" t="inlineStr">
        <is>
          <t>skip empties</t>
        </is>
      </c>
      <c r="C30">
        <f>TEXTJOIN(",",TRUE,"a","","b")</f>
        <v/>
      </c>
      <c r="D30" t="inlineStr">
        <is>
          <t>a,b</t>
        </is>
      </c>
      <c r="E30">
        <f>IF(ISTEXT(C30),IF(EXACT(C30,D30),"OK","FAIL"),"FAIL")</f>
        <v/>
      </c>
    </row>
    <row r="31">
      <c r="A31" t="inlineStr">
        <is>
          <t>TEX030</t>
        </is>
      </c>
      <c r="B31" t="inlineStr"/>
      <c r="C31">
        <f>TEXTBEFORE("a-b-c","-")</f>
        <v/>
      </c>
      <c r="D31" t="inlineStr">
        <is>
          <t>a</t>
        </is>
      </c>
      <c r="E31">
        <f>IF(ISTEXT(C31),IF(EXACT(C31,D31),"OK","FAIL"),"FAIL")</f>
        <v/>
      </c>
    </row>
    <row r="32">
      <c r="A32" t="inlineStr">
        <is>
          <t>TEX031</t>
        </is>
      </c>
      <c r="B32" t="inlineStr"/>
      <c r="C32">
        <f>TEXTBEFORE("a-b-c","-",2)</f>
        <v/>
      </c>
      <c r="D32" t="inlineStr">
        <is>
          <t>a-b</t>
        </is>
      </c>
      <c r="E32">
        <f>IF(ISTEXT(C32),IF(EXACT(C32,D32),"OK","FAIL"),"FAIL")</f>
        <v/>
      </c>
    </row>
    <row r="33">
      <c r="A33" t="inlineStr">
        <is>
          <t>TEX032</t>
        </is>
      </c>
      <c r="B33" t="inlineStr"/>
      <c r="C33">
        <f>TEXTAFTER("a-b-c","-")</f>
        <v/>
      </c>
      <c r="D33" t="inlineStr">
        <is>
          <t>b-c</t>
        </is>
      </c>
      <c r="E33">
        <f>IF(ISTEXT(C33),IF(EXACT(C33,D33),"OK","FAIL"),"FAIL")</f>
        <v/>
      </c>
    </row>
    <row r="34">
      <c r="A34" t="inlineStr">
        <is>
          <t>TEX033</t>
        </is>
      </c>
      <c r="B34" t="inlineStr"/>
      <c r="C34">
        <f>FORMULATEXT(Data!J1)</f>
        <v/>
      </c>
      <c r="D34">
        <f>"="&amp;"1+1"</f>
        <v/>
      </c>
      <c r="E34">
        <f>IF(ISTEXT(C34),IF(EXACT(C34,D34),"OK","FAIL"),"FAIL")</f>
        <v/>
      </c>
    </row>
    <row r="35">
      <c r="A35" t="inlineStr">
        <is>
          <t>TEX034</t>
        </is>
      </c>
      <c r="B35" t="inlineStr"/>
      <c r="C35">
        <f>PROPER("hello world")</f>
        <v/>
      </c>
      <c r="D35" t="inlineStr">
        <is>
          <t>Hello World</t>
        </is>
      </c>
      <c r="E35">
        <f>IF(ISTEXT(C35),IF(EXACT(C35,D35),"OK","FAIL"),"FAIL")</f>
        <v/>
      </c>
    </row>
    <row r="36">
      <c r="A36" t="inlineStr">
        <is>
          <t>TEX035</t>
        </is>
      </c>
      <c r="B36" t="inlineStr">
        <is>
          <t>any non-letter is a word break</t>
        </is>
      </c>
      <c r="C36">
        <f>PROPER("2-cent's worth")</f>
        <v/>
      </c>
      <c r="D36" t="inlineStr">
        <is>
          <t>2-Cent'S Worth</t>
        </is>
      </c>
      <c r="E36">
        <f>IF(ISTEXT(C36),IF(EXACT(C36,D36),"OK","FAIL"),"FAIL")</f>
        <v/>
      </c>
    </row>
    <row r="37">
      <c r="A37" t="inlineStr">
        <is>
          <t>TEX036</t>
        </is>
      </c>
      <c r="B37" t="inlineStr"/>
      <c r="C37">
        <f>PROPER(Data!H3)</f>
        <v/>
      </c>
      <c r="D37" t="inlineStr">
        <is>
          <t>Mixed Case</t>
        </is>
      </c>
      <c r="E37">
        <f>IF(ISTEXT(C37),IF(EXACT(C37,D37),"OK","FAIL"),"FAIL")</f>
        <v/>
      </c>
    </row>
    <row r="38">
      <c r="A38" t="inlineStr">
        <is>
          <t>TEX037</t>
        </is>
      </c>
      <c r="B38" t="inlineStr"/>
      <c r="C38">
        <f>CODE("A")</f>
        <v/>
      </c>
      <c r="D38" t="n">
        <v>65</v>
      </c>
      <c r="E38">
        <f>IF(ISNUMBER(C38),IF(ABS(C38-D38)&lt;0.000000001,"OK","FAIL"),"FAIL")</f>
        <v/>
      </c>
    </row>
    <row r="39">
      <c r="A39" t="inlineStr">
        <is>
          <t>TEX038</t>
        </is>
      </c>
      <c r="B39" t="inlineStr">
        <is>
          <t>Win-1252 C1 range</t>
        </is>
      </c>
      <c r="C39">
        <f>CODE("€")</f>
        <v/>
      </c>
      <c r="D39" t="n">
        <v>128</v>
      </c>
      <c r="E39">
        <f>IF(ISNUMBER(C39),IF(ABS(C39-D39)&lt;0.000000001,"OK","FAIL"),"FAIL")</f>
        <v/>
      </c>
    </row>
    <row r="40">
      <c r="A40" t="inlineStr">
        <is>
          <t>TEX039</t>
        </is>
      </c>
      <c r="B40" t="inlineStr">
        <is>
          <t>round-trip</t>
        </is>
      </c>
      <c r="C40">
        <f>CHAR(CODE("a"))</f>
        <v/>
      </c>
      <c r="D40" t="inlineStr">
        <is>
          <t>a</t>
        </is>
      </c>
      <c r="E40">
        <f>IF(ISTEXT(C40),IF(EXACT(C40,D40),"OK","FAIL"),"FAIL")</f>
        <v/>
      </c>
    </row>
    <row r="41">
      <c r="A41" t="inlineStr">
        <is>
          <t>TEX040</t>
        </is>
      </c>
      <c r="B41" t="inlineStr">
        <is>
          <t>empty text</t>
        </is>
      </c>
      <c r="C41">
        <f>CODE("")</f>
        <v/>
      </c>
      <c r="D41" t="e">
        <v>#VALUE!</v>
      </c>
      <c r="E41">
        <f>IF(IFERROR(ERROR.TYPE(C41),0)=3,"OK","FAIL")</f>
        <v/>
      </c>
    </row>
    <row r="42">
      <c r="A42" t="inlineStr">
        <is>
          <t>TEX041</t>
        </is>
      </c>
      <c r="B42" t="inlineStr"/>
      <c r="C42">
        <f>REPLACE("abcdef",2,3,"XY")</f>
        <v/>
      </c>
      <c r="D42" t="inlineStr">
        <is>
          <t>aXYef</t>
        </is>
      </c>
      <c r="E42">
        <f>IF(ISTEXT(C42),IF(EXACT(C42,D42),"OK","FAIL"),"FAIL")</f>
        <v/>
      </c>
    </row>
    <row r="43">
      <c r="A43" t="inlineStr">
        <is>
          <t>TEX042</t>
        </is>
      </c>
      <c r="B43" t="inlineStr">
        <is>
          <t>start past end appends</t>
        </is>
      </c>
      <c r="C43">
        <f>REPLACE("abc",9,2,"Z")</f>
        <v/>
      </c>
      <c r="D43" t="inlineStr">
        <is>
          <t>abcZ</t>
        </is>
      </c>
      <c r="E43">
        <f>IF(ISTEXT(C43),IF(EXACT(C43,D43),"OK","FAIL"),"FAIL")</f>
        <v/>
      </c>
    </row>
    <row r="44">
      <c r="A44" t="inlineStr">
        <is>
          <t>TEX043</t>
        </is>
      </c>
      <c r="B44" t="inlineStr">
        <is>
          <t>zero chars inserts</t>
        </is>
      </c>
      <c r="C44">
        <f>REPLACE("abc",1,0,"Z")</f>
        <v/>
      </c>
      <c r="D44" t="inlineStr">
        <is>
          <t>Zabc</t>
        </is>
      </c>
      <c r="E44">
        <f>IF(ISTEXT(C44),IF(EXACT(C44,D44),"OK","FAIL"),"FAIL")</f>
        <v/>
      </c>
    </row>
    <row r="45">
      <c r="A45" t="inlineStr">
        <is>
          <t>TEX044</t>
        </is>
      </c>
      <c r="B45" t="inlineStr">
        <is>
          <t>start below 1</t>
        </is>
      </c>
      <c r="C45">
        <f>REPLACE("abc",0,1,"Z")</f>
        <v/>
      </c>
      <c r="D45" t="e">
        <v>#VALUE!</v>
      </c>
      <c r="E45">
        <f>IF(IFERROR(ERROR.TYPE(C45),0)=3,"OK","FAIL")</f>
        <v/>
      </c>
    </row>
    <row r="46">
      <c r="A46" t="inlineStr">
        <is>
          <t>TEX045</t>
        </is>
      </c>
      <c r="B46" t="inlineStr"/>
      <c r="C46">
        <f>FIXED(1234.567,1)</f>
        <v/>
      </c>
      <c r="D46" t="inlineStr">
        <is>
          <t>1,234.6</t>
        </is>
      </c>
      <c r="E46">
        <f>IF(ISTEXT(C46),IF(EXACT(C46,D46),"OK","FAIL"),"FAIL")</f>
        <v/>
      </c>
    </row>
    <row r="47">
      <c r="A47" t="inlineStr">
        <is>
          <t>TEX046</t>
        </is>
      </c>
      <c r="B47" t="inlineStr">
        <is>
          <t>default 2 decimals</t>
        </is>
      </c>
      <c r="C47">
        <f>FIXED(1234.567)</f>
        <v/>
      </c>
      <c r="D47" t="inlineStr">
        <is>
          <t>1,234.57</t>
        </is>
      </c>
      <c r="E47">
        <f>IF(ISTEXT(C47),IF(EXACT(C47,D47),"OK","FAIL"),"FAIL")</f>
        <v/>
      </c>
    </row>
    <row r="48">
      <c r="A48" t="inlineStr">
        <is>
          <t>TEX047</t>
        </is>
      </c>
      <c r="B48" t="inlineStr"/>
      <c r="C48">
        <f>FIXED(-1234.567,1)</f>
        <v/>
      </c>
      <c r="D48" t="inlineStr">
        <is>
          <t>-1,234.6</t>
        </is>
      </c>
      <c r="E48">
        <f>IF(ISTEXT(C48),IF(EXACT(C48,D48),"OK","FAIL"),"FAIL")</f>
        <v/>
      </c>
    </row>
    <row r="49">
      <c r="A49" t="inlineStr">
        <is>
          <t>TEX048</t>
        </is>
      </c>
      <c r="B49" t="inlineStr">
        <is>
          <t>negative decimals round left</t>
        </is>
      </c>
      <c r="C49">
        <f>FIXED(1234.567,-2)</f>
        <v/>
      </c>
      <c r="D49" t="inlineStr">
        <is>
          <t>1,200</t>
        </is>
      </c>
      <c r="E49">
        <f>IF(ISTEXT(C49),IF(EXACT(C49,D49),"OK","FAIL"),"FAIL")</f>
        <v/>
      </c>
    </row>
    <row r="50">
      <c r="A50" t="inlineStr">
        <is>
          <t>TEX049</t>
        </is>
      </c>
      <c r="B50" t="inlineStr">
        <is>
          <t>no_commas</t>
        </is>
      </c>
      <c r="C50">
        <f>FIXED(1234.567,1,TRUE)</f>
        <v/>
      </c>
      <c r="D50" t="inlineStr">
        <is>
          <t>1234.6</t>
        </is>
      </c>
      <c r="E50">
        <f>IF(ISTEXT(C50),IF(EXACT(C50,D50),"OK","FAIL"),"FAIL")</f>
        <v/>
      </c>
    </row>
    <row r="51">
      <c r="A51" t="inlineStr">
        <is>
          <t>TEX050</t>
        </is>
      </c>
      <c r="B51" t="inlineStr"/>
      <c r="C51">
        <f>NUMBERVALUE("1.5")</f>
        <v/>
      </c>
      <c r="D51" t="n">
        <v>1.5</v>
      </c>
      <c r="E51">
        <f>IF(ISNUMBER(C51),IF(ABS(C51-D51)&lt;0.000000001,"OK","FAIL"),"FAIL")</f>
        <v/>
      </c>
    </row>
    <row r="52">
      <c r="A52" t="inlineStr">
        <is>
          <t>TEX051</t>
        </is>
      </c>
      <c r="B52" t="inlineStr">
        <is>
          <t>trailing percent divides</t>
        </is>
      </c>
      <c r="C52">
        <f>NUMBERVALUE("2.5%")</f>
        <v/>
      </c>
      <c r="D52" t="n">
        <v>0.025</v>
      </c>
      <c r="E52">
        <f>IF(ISNUMBER(C52),IF(ABS(C52-D52)&lt;0.000000001,"OK","FAIL"),"FAIL")</f>
        <v/>
      </c>
    </row>
    <row r="53">
      <c r="A53" t="inlineStr">
        <is>
          <t>TEX052</t>
        </is>
      </c>
      <c r="B53" t="inlineStr">
        <is>
          <t>custom separators</t>
        </is>
      </c>
      <c r="C53">
        <f>NUMBERVALUE("3,50",",",".")</f>
        <v/>
      </c>
      <c r="D53" t="n">
        <v>3.5</v>
      </c>
      <c r="E53">
        <f>IF(ISNUMBER(C53),IF(ABS(C53-D53)&lt;0.000000001,"OK","FAIL"),"FAIL")</f>
        <v/>
      </c>
    </row>
    <row r="54">
      <c r="A54" t="inlineStr">
        <is>
          <t>TEX053</t>
        </is>
      </c>
      <c r="B54" t="inlineStr">
        <is>
          <t>group separators stripped</t>
        </is>
      </c>
      <c r="C54">
        <f>NUMBERVALUE("1,234.5")</f>
        <v/>
      </c>
      <c r="D54" t="n">
        <v>1234.5</v>
      </c>
      <c r="E54">
        <f>IF(ISNUMBER(C54),IF(ABS(C54-D54)&lt;0.000000001,"OK","FAIL"),"FAIL")</f>
        <v/>
      </c>
    </row>
    <row r="55">
      <c r="A55" t="inlineStr">
        <is>
          <t>TEX054</t>
        </is>
      </c>
      <c r="B55" t="inlineStr">
        <is>
          <t>empty text is zero</t>
        </is>
      </c>
      <c r="C55">
        <f>NUMBERVALUE("")</f>
        <v/>
      </c>
      <c r="D55" t="n">
        <v>0</v>
      </c>
      <c r="E55">
        <f>IF(ISNUMBER(C55),IF(ABS(C55-D55)&lt;0.000000001,"OK","FAIL"),"FAIL")</f>
        <v/>
      </c>
    </row>
    <row r="56">
      <c r="A56" t="inlineStr">
        <is>
          <t>TEX055</t>
        </is>
      </c>
      <c r="B56" t="inlineStr"/>
      <c r="C56">
        <f>NUMBERVALUE("abc")</f>
        <v/>
      </c>
      <c r="D56" t="e">
        <v>#VALUE!</v>
      </c>
      <c r="E56">
        <f>IF(IFERROR(ERROR.TYPE(C56),0)=3,"OK","FAIL")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LOG001</t>
        </is>
      </c>
      <c r="B2" t="inlineStr"/>
      <c r="C2">
        <f>IF(1&gt;2,"y","n")</f>
        <v/>
      </c>
      <c r="D2" t="inlineStr">
        <is>
          <t>n</t>
        </is>
      </c>
      <c r="E2">
        <f>IF(ISTEXT(C2),IF(EXACT(C2,D2),"OK","FAIL"),"FAIL")</f>
        <v/>
      </c>
    </row>
    <row r="3">
      <c r="A3" t="inlineStr">
        <is>
          <t>LOG002</t>
        </is>
      </c>
      <c r="B3" t="inlineStr">
        <is>
          <t>0 is falsy</t>
        </is>
      </c>
      <c r="C3">
        <f>IF(0,"y","n")</f>
        <v/>
      </c>
      <c r="D3" t="inlineStr">
        <is>
          <t>n</t>
        </is>
      </c>
      <c r="E3">
        <f>IF(ISTEXT(C3),IF(EXACT(C3,D3),"OK","FAIL"),"FAIL")</f>
        <v/>
      </c>
    </row>
    <row r="4">
      <c r="A4" t="inlineStr">
        <is>
          <t>LOG003</t>
        </is>
      </c>
      <c r="B4" t="inlineStr">
        <is>
          <t>nonzero is truthy</t>
        </is>
      </c>
      <c r="C4">
        <f>IF(3,"y","n")</f>
        <v/>
      </c>
      <c r="D4" t="inlineStr">
        <is>
          <t>y</t>
        </is>
      </c>
      <c r="E4">
        <f>IF(ISTEXT(C4),IF(EXACT(C4,D4),"OK","FAIL"),"FAIL")</f>
        <v/>
      </c>
    </row>
    <row r="5">
      <c r="A5" t="inlineStr">
        <is>
          <t>LOG004</t>
        </is>
      </c>
      <c r="B5" t="inlineStr"/>
      <c r="C5">
        <f>AND(TRUE,1=1)</f>
        <v/>
      </c>
      <c r="D5" t="b">
        <v>1</v>
      </c>
      <c r="E5">
        <f>IF(ISLOGICAL(C5),IF(C5=D5,"OK","FAIL"),"FAIL")</f>
        <v/>
      </c>
    </row>
    <row r="6">
      <c r="A6" t="inlineStr">
        <is>
          <t>LOG005</t>
        </is>
      </c>
      <c r="B6" t="inlineStr"/>
      <c r="C6">
        <f>AND(TRUE,FALSE)</f>
        <v/>
      </c>
      <c r="D6" t="b">
        <v>0</v>
      </c>
      <c r="E6">
        <f>IF(ISLOGICAL(C6),IF(C6=D6,"OK","FAIL"),"FAIL")</f>
        <v/>
      </c>
    </row>
    <row r="7">
      <c r="A7" t="inlineStr">
        <is>
          <t>LOG006</t>
        </is>
      </c>
      <c r="B7" t="inlineStr"/>
      <c r="C7">
        <f>OR(FALSE,FALSE)</f>
        <v/>
      </c>
      <c r="D7" t="b">
        <v>0</v>
      </c>
      <c r="E7">
        <f>IF(ISLOGICAL(C7),IF(C7=D7,"OK","FAIL"),"FAIL")</f>
        <v/>
      </c>
    </row>
    <row r="8">
      <c r="A8" t="inlineStr">
        <is>
          <t>LOG007</t>
        </is>
      </c>
      <c r="B8" t="inlineStr">
        <is>
          <t>numeric coercion</t>
        </is>
      </c>
      <c r="C8">
        <f>OR(0,1)</f>
        <v/>
      </c>
      <c r="D8" t="b">
        <v>1</v>
      </c>
      <c r="E8">
        <f>IF(ISLOGICAL(C8),IF(C8=D8,"OK","FAIL"),"FAIL")</f>
        <v/>
      </c>
    </row>
    <row r="9">
      <c r="A9" t="inlineStr">
        <is>
          <t>LOG008</t>
        </is>
      </c>
      <c r="B9" t="inlineStr"/>
      <c r="C9">
        <f>XOR(TRUE,TRUE)</f>
        <v/>
      </c>
      <c r="D9" t="b">
        <v>0</v>
      </c>
      <c r="E9">
        <f>IF(ISLOGICAL(C9),IF(C9=D9,"OK","FAIL"),"FAIL")</f>
        <v/>
      </c>
    </row>
    <row r="10">
      <c r="A10" t="inlineStr">
        <is>
          <t>LOG009</t>
        </is>
      </c>
      <c r="B10" t="inlineStr">
        <is>
          <t>even count of TRUE</t>
        </is>
      </c>
      <c r="C10">
        <f>XOR(TRUE,FALSE,TRUE)</f>
        <v/>
      </c>
      <c r="D10" t="b">
        <v>0</v>
      </c>
      <c r="E10">
        <f>IF(ISLOGICAL(C10),IF(C10=D10,"OK","FAIL"),"FAIL")</f>
        <v/>
      </c>
    </row>
    <row r="11">
      <c r="A11" t="inlineStr">
        <is>
          <t>LOG010</t>
        </is>
      </c>
      <c r="B11" t="inlineStr"/>
      <c r="C11">
        <f>NOT(FALSE)</f>
        <v/>
      </c>
      <c r="D11" t="b">
        <v>1</v>
      </c>
      <c r="E11">
        <f>IF(ISLOGICAL(C11),IF(C11=D11,"OK","FAIL"),"FAIL")</f>
        <v/>
      </c>
    </row>
    <row r="12">
      <c r="A12" t="inlineStr">
        <is>
          <t>LOG011</t>
        </is>
      </c>
      <c r="B12" t="inlineStr"/>
      <c r="C12">
        <f>IFERROR(1/0,"caught")</f>
        <v/>
      </c>
      <c r="D12" t="inlineStr">
        <is>
          <t>caught</t>
        </is>
      </c>
      <c r="E12">
        <f>IF(ISTEXT(C12),IF(EXACT(C12,D12),"OK","FAIL"),"FAIL")</f>
        <v/>
      </c>
    </row>
    <row r="13">
      <c r="A13" t="inlineStr">
        <is>
          <t>LOG012</t>
        </is>
      </c>
      <c r="B13" t="inlineStr">
        <is>
          <t>no error passes through</t>
        </is>
      </c>
      <c r="C13">
        <f>IFERROR(42,"x")</f>
        <v/>
      </c>
      <c r="D13" t="n">
        <v>42</v>
      </c>
      <c r="E13">
        <f>IF(ISNUMBER(C13),IF(ABS(C13-D13)&lt;0.000000001,"OK","FAIL"),"FAIL")</f>
        <v/>
      </c>
    </row>
    <row r="14">
      <c r="A14" t="inlineStr">
        <is>
          <t>LOG013</t>
        </is>
      </c>
      <c r="B14" t="inlineStr"/>
      <c r="C14">
        <f>IFNA(NA(),"na")</f>
        <v/>
      </c>
      <c r="D14" t="inlineStr">
        <is>
          <t>na</t>
        </is>
      </c>
      <c r="E14">
        <f>IF(ISTEXT(C14),IF(EXACT(C14,D14),"OK","FAIL"),"FAIL")</f>
        <v/>
      </c>
    </row>
    <row r="15">
      <c r="A15" t="inlineStr">
        <is>
          <t>LOG014</t>
        </is>
      </c>
      <c r="B15" t="inlineStr">
        <is>
          <t>IFNA only catches #N/A</t>
        </is>
      </c>
      <c r="C15">
        <f>IFNA(1/0,"na")</f>
        <v/>
      </c>
      <c r="D15" t="e">
        <v>#DIV/0!</v>
      </c>
      <c r="E15">
        <f>IF(IFERROR(ERROR.TYPE(C15),0)=2,"OK","FAIL")</f>
        <v/>
      </c>
    </row>
    <row r="16">
      <c r="A16" t="inlineStr">
        <is>
          <t>LOG015</t>
        </is>
      </c>
      <c r="B16" t="inlineStr"/>
      <c r="C16">
        <f>IFS(FALSE,"a",TRUE,"b")</f>
        <v/>
      </c>
      <c r="D16" t="inlineStr">
        <is>
          <t>b</t>
        </is>
      </c>
      <c r="E16">
        <f>IF(ISTEXT(C16),IF(EXACT(C16,D16),"OK","FAIL"),"FAIL")</f>
        <v/>
      </c>
    </row>
    <row r="17">
      <c r="A17" t="inlineStr">
        <is>
          <t>LOG016</t>
        </is>
      </c>
      <c r="B17" t="inlineStr">
        <is>
          <t>no branch matched</t>
        </is>
      </c>
      <c r="C17">
        <f>IFS(FALSE,"a")</f>
        <v/>
      </c>
      <c r="D17" t="e">
        <v>#N/A</v>
      </c>
      <c r="E17">
        <f>IF(IFERROR(ERROR.TYPE(C17),0)=7,"OK","FAIL")</f>
        <v/>
      </c>
    </row>
    <row r="18">
      <c r="A18" t="inlineStr">
        <is>
          <t>LOG017</t>
        </is>
      </c>
      <c r="B18" t="inlineStr"/>
      <c r="C18">
        <f>SWITCH(2,1,"one",2,"two","def")</f>
        <v/>
      </c>
      <c r="D18" t="inlineStr">
        <is>
          <t>two</t>
        </is>
      </c>
      <c r="E18">
        <f>IF(ISTEXT(C18),IF(EXACT(C18,D18),"OK","FAIL"),"FAIL")</f>
        <v/>
      </c>
    </row>
    <row r="19">
      <c r="A19" t="inlineStr">
        <is>
          <t>LOG018</t>
        </is>
      </c>
      <c r="B19" t="inlineStr">
        <is>
          <t>default arm</t>
        </is>
      </c>
      <c r="C19">
        <f>SWITCH(9,1,"one","def")</f>
        <v/>
      </c>
      <c r="D19" t="inlineStr">
        <is>
          <t>def</t>
        </is>
      </c>
      <c r="E19">
        <f>IF(ISTEXT(C19),IF(EXACT(C19,D19),"OK","FAIL"),"FAIL")</f>
        <v/>
      </c>
    </row>
    <row r="20">
      <c r="A20" t="inlineStr">
        <is>
          <t>LOG019</t>
        </is>
      </c>
      <c r="B20" t="inlineStr"/>
      <c r="C20">
        <f>TRUE()</f>
        <v/>
      </c>
      <c r="D20" t="b">
        <v>1</v>
      </c>
      <c r="E20">
        <f>IF(ISLOGICAL(C20),IF(C20=D20,"OK","FAIL"),"FAIL")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LOO001</t>
        </is>
      </c>
      <c r="B2" t="inlineStr"/>
      <c r="C2">
        <f>VLOOKUP("Cherry",Data!A2:C6,3,FALSE)</f>
        <v/>
      </c>
      <c r="D2" t="n">
        <v>3.2</v>
      </c>
      <c r="E2">
        <f>IF(ISNUMBER(C2),IF(ABS(C2-D2)&lt;0.000000001,"OK","FAIL"),"FAIL")</f>
        <v/>
      </c>
    </row>
    <row r="3">
      <c r="A3" t="inlineStr">
        <is>
          <t>LOO002</t>
        </is>
      </c>
      <c r="B3" t="inlineStr">
        <is>
          <t>case-insensitive</t>
        </is>
      </c>
      <c r="C3">
        <f>VLOOKUP("cherry",Data!A2:C6,3,FALSE)</f>
        <v/>
      </c>
      <c r="D3" t="n">
        <v>3.2</v>
      </c>
      <c r="E3">
        <f>IF(ISNUMBER(C3),IF(ABS(C3-D3)&lt;0.000000001,"OK","FAIL"),"FAIL")</f>
        <v/>
      </c>
    </row>
    <row r="4">
      <c r="A4" t="inlineStr">
        <is>
          <t>LOO003</t>
        </is>
      </c>
      <c r="B4" t="inlineStr"/>
      <c r="C4">
        <f>VLOOKUP("Zzz",Data!A2:C6,2,FALSE)</f>
        <v/>
      </c>
      <c r="D4" t="e">
        <v>#N/A</v>
      </c>
      <c r="E4">
        <f>IF(IFERROR(ERROR.TYPE(C4),0)=7,"OK","FAIL")</f>
        <v/>
      </c>
    </row>
    <row r="5">
      <c r="A5" t="inlineStr">
        <is>
          <t>LOO004</t>
        </is>
      </c>
      <c r="B5" t="inlineStr">
        <is>
          <t>approx falls back to Cherry</t>
        </is>
      </c>
      <c r="C5">
        <f>VLOOKUP("Coconut",Data!A2:C6,2,TRUE)</f>
        <v/>
      </c>
      <c r="D5" t="n">
        <v>5</v>
      </c>
      <c r="E5">
        <f>IF(ISNUMBER(C5),IF(ABS(C5-D5)&lt;0.000000001,"OK","FAIL"),"FAIL")</f>
        <v/>
      </c>
    </row>
    <row r="6">
      <c r="A6" t="inlineStr">
        <is>
          <t>LOO005</t>
        </is>
      </c>
      <c r="B6" t="inlineStr"/>
      <c r="C6">
        <f>HLOOKUP("b",Data!K1:M2,2,FALSE)</f>
        <v/>
      </c>
      <c r="D6" t="n">
        <v>2</v>
      </c>
      <c r="E6">
        <f>IF(ISNUMBER(C6),IF(ABS(C6-D6)&lt;0.000000001,"OK","FAIL"),"FAIL")</f>
        <v/>
      </c>
    </row>
    <row r="7">
      <c r="A7" t="inlineStr">
        <is>
          <t>LOO006</t>
        </is>
      </c>
      <c r="B7" t="inlineStr"/>
      <c r="C7">
        <f>INDEX(Data!A2:C6,2,1)</f>
        <v/>
      </c>
      <c r="D7" t="inlineStr">
        <is>
          <t>Banana</t>
        </is>
      </c>
      <c r="E7">
        <f>IF(ISTEXT(C7),IF(EXACT(C7,D7),"OK","FAIL"),"FAIL")</f>
        <v/>
      </c>
    </row>
    <row r="8">
      <c r="A8" t="inlineStr">
        <is>
          <t>LOO007</t>
        </is>
      </c>
      <c r="B8" t="inlineStr">
        <is>
          <t>vector form</t>
        </is>
      </c>
      <c r="C8">
        <f>INDEX(Data!E1:E8,4)</f>
        <v/>
      </c>
      <c r="D8" t="n">
        <v>1</v>
      </c>
      <c r="E8">
        <f>IF(ISNUMBER(C8),IF(ABS(C8-D8)&lt;0.000000001,"OK","FAIL"),"FAIL")</f>
        <v/>
      </c>
    </row>
    <row r="9">
      <c r="A9" t="inlineStr">
        <is>
          <t>LOO008</t>
        </is>
      </c>
      <c r="B9" t="inlineStr"/>
      <c r="C9">
        <f>MATCH(8,Data!E1:E8,0)</f>
        <v/>
      </c>
      <c r="D9" t="n">
        <v>3</v>
      </c>
      <c r="E9">
        <f>IF(ISNUMBER(C9),IF(ABS(C9-D9)&lt;0.000000001,"OK","FAIL"),"FAIL")</f>
        <v/>
      </c>
    </row>
    <row r="10">
      <c r="A10" t="inlineStr">
        <is>
          <t>LOO009</t>
        </is>
      </c>
      <c r="B10" t="inlineStr"/>
      <c r="C10">
        <f>MATCH("Date",Data!A2:A6,0)</f>
        <v/>
      </c>
      <c r="D10" t="n">
        <v>4</v>
      </c>
      <c r="E10">
        <f>IF(ISNUMBER(C10),IF(ABS(C10-D10)&lt;0.000000001,"OK","FAIL"),"FAIL")</f>
        <v/>
      </c>
    </row>
    <row r="11">
      <c r="A11" t="inlineStr">
        <is>
          <t>LOO010</t>
        </is>
      </c>
      <c r="B11" t="inlineStr">
        <is>
          <t>approx over sorted 10..50</t>
        </is>
      </c>
      <c r="C11">
        <f>MATCH(35,Data!F3:F7,1)</f>
        <v/>
      </c>
      <c r="D11" t="n">
        <v>3</v>
      </c>
      <c r="E11">
        <f>IF(ISNUMBER(C11),IF(ABS(C11-D11)&lt;0.000000001,"OK","FAIL"),"FAIL")</f>
        <v/>
      </c>
    </row>
    <row r="12">
      <c r="A12" t="inlineStr">
        <is>
          <t>LOO011</t>
        </is>
      </c>
      <c r="B12" t="inlineStr">
        <is>
          <t>INDEX+MATCH</t>
        </is>
      </c>
      <c r="C12">
        <f>INDEX(Data!C2:C6,MATCH("Banana",Data!A2:A6,0))</f>
        <v/>
      </c>
      <c r="D12" t="n">
        <v>0.25</v>
      </c>
      <c r="E12">
        <f>IF(ISNUMBER(C12),IF(ABS(C12-D12)&lt;0.000000001,"OK","FAIL"),"FAIL")</f>
        <v/>
      </c>
    </row>
    <row r="13">
      <c r="A13" t="inlineStr">
        <is>
          <t>LOO012</t>
        </is>
      </c>
      <c r="B13" t="inlineStr"/>
      <c r="C13">
        <f>CHOOSE(3,"a","b","c")</f>
        <v/>
      </c>
      <c r="D13" t="inlineStr">
        <is>
          <t>c</t>
        </is>
      </c>
      <c r="E13">
        <f>IF(ISTEXT(C13),IF(EXACT(C13,D13),"OK","FAIL"),"FAIL")</f>
        <v/>
      </c>
    </row>
    <row r="14">
      <c r="A14" t="inlineStr">
        <is>
          <t>LOO013</t>
        </is>
      </c>
      <c r="B14" t="inlineStr">
        <is>
          <t>lands on B3</t>
        </is>
      </c>
      <c r="C14">
        <f>OFFSET(Data!A2,1,1)</f>
        <v/>
      </c>
      <c r="D14" t="n">
        <v>20</v>
      </c>
      <c r="E14">
        <f>IF(ISNUMBER(C14),IF(ABS(C14-D14)&lt;0.000000001,"OK","FAIL"),"FAIL")</f>
        <v/>
      </c>
    </row>
    <row r="15">
      <c r="A15" t="inlineStr">
        <is>
          <t>LOO014</t>
        </is>
      </c>
      <c r="B15" t="inlineStr">
        <is>
          <t>resized range 5+3+8+1</t>
        </is>
      </c>
      <c r="C15">
        <f>SUM(OFFSET(Data!E1,0,0,4,1))</f>
        <v/>
      </c>
      <c r="D15" t="n">
        <v>17</v>
      </c>
      <c r="E15">
        <f>IF(ISNUMBER(C15),IF(ABS(C15-D15)&lt;0.000000001,"OK","FAIL"),"FAIL")</f>
        <v/>
      </c>
    </row>
    <row r="16">
      <c r="A16" t="inlineStr">
        <is>
          <t>LOO015</t>
        </is>
      </c>
      <c r="B16" t="inlineStr"/>
      <c r="C16">
        <f>ROWS(Data!A2:C6)</f>
        <v/>
      </c>
      <c r="D16" t="n">
        <v>5</v>
      </c>
      <c r="E16">
        <f>IF(ISNUMBER(C16),IF(ABS(C16-D16)&lt;0.000000001,"OK","FAIL"),"FAIL")</f>
        <v/>
      </c>
    </row>
    <row r="17">
      <c r="A17" t="inlineStr">
        <is>
          <t>LOO016</t>
        </is>
      </c>
      <c r="B17" t="inlineStr"/>
      <c r="C17">
        <f>COLUMNS(Data!A2:C6)</f>
        <v/>
      </c>
      <c r="D17" t="n">
        <v>3</v>
      </c>
      <c r="E17">
        <f>IF(ISNUMBER(C17),IF(ABS(C17-D17)&lt;0.000000001,"OK","FAIL"),"FAIL")</f>
        <v/>
      </c>
    </row>
    <row r="18">
      <c r="A18" t="inlineStr">
        <is>
          <t>LOO017</t>
        </is>
      </c>
      <c r="B18" t="inlineStr"/>
      <c r="C18">
        <f>INDIRECT("Data!B3")</f>
        <v/>
      </c>
      <c r="D18" t="n">
        <v>20</v>
      </c>
      <c r="E18">
        <f>IF(ISNUMBER(C18),IF(ABS(C18-D18)&lt;0.000000001,"OK","FAIL"),"FAIL")</f>
        <v/>
      </c>
    </row>
    <row r="19">
      <c r="A19" t="inlineStr">
        <is>
          <t>LOO018</t>
        </is>
      </c>
      <c r="B19" t="inlineStr">
        <is>
          <t>R1C1 mode</t>
        </is>
      </c>
      <c r="C19">
        <f>INDIRECT("Data!R3C2",FALSE)</f>
        <v/>
      </c>
      <c r="D19" t="n">
        <v>20</v>
      </c>
      <c r="E19">
        <f>IF(ISNUMBER(C19),IF(ABS(C19-D19)&lt;0.000000001,"OK","FAIL"),"FAIL")</f>
        <v/>
      </c>
    </row>
    <row r="20">
      <c r="A20" t="inlineStr">
        <is>
          <t>LOO019</t>
        </is>
      </c>
      <c r="B20" t="inlineStr">
        <is>
          <t>R1C1 range</t>
        </is>
      </c>
      <c r="C20">
        <f>SUM(INDIRECT("Data!R1C5:R4C5",FALSE))</f>
        <v/>
      </c>
      <c r="D20" t="n">
        <v>17</v>
      </c>
      <c r="E20">
        <f>IF(ISNUMBER(C20),IF(ABS(C20-D20)&lt;0.000000001,"OK","FAIL"),"FAIL")</f>
        <v/>
      </c>
    </row>
    <row r="21">
      <c r="A21" t="inlineStr">
        <is>
          <t>LOO020</t>
        </is>
      </c>
      <c r="B21" t="inlineStr">
        <is>
          <t>defined name through INDIRECT</t>
        </is>
      </c>
      <c r="C21">
        <f>INDIRECT("TaxRate")</f>
        <v/>
      </c>
      <c r="D21" t="n">
        <v>0.15</v>
      </c>
      <c r="E21">
        <f>IF(ISNUMBER(C21),IF(ABS(C21-D21)&lt;0.000000001,"OK","FAIL"),"FAIL")</f>
        <v/>
      </c>
    </row>
    <row r="22">
      <c r="A22" t="inlineStr">
        <is>
          <t>LOO021</t>
        </is>
      </c>
      <c r="B22" t="inlineStr">
        <is>
          <t>defined-name table</t>
        </is>
      </c>
      <c r="C22">
        <f>VLOOKUP("Date",PriceTable,2,FALSE)</f>
        <v/>
      </c>
      <c r="D22" t="n">
        <v>15</v>
      </c>
      <c r="E22">
        <f>IF(ISNUMBER(C22),IF(ABS(C22-D22)&lt;0.000000001,"OK","FAIL"),"FAIL")</f>
        <v/>
      </c>
    </row>
    <row r="23">
      <c r="A23" t="inlineStr">
        <is>
          <t>LOO022</t>
        </is>
      </c>
      <c r="B23" t="inlineStr">
        <is>
          <t>defined name in arithmetic</t>
        </is>
      </c>
      <c r="C23">
        <f>TaxRate*100</f>
        <v/>
      </c>
      <c r="D23" t="n">
        <v>15</v>
      </c>
      <c r="E23">
        <f>IF(ISNUMBER(C23),IF(ABS(C23-D23)&lt;0.000000001,"OK","FAIL"),"FAIL")</f>
        <v/>
      </c>
    </row>
    <row r="24">
      <c r="A24" t="inlineStr">
        <is>
          <t>LOO023</t>
        </is>
      </c>
      <c r="B24" t="inlineStr"/>
      <c r="C24">
        <f>XLOOKUP("Date",Data!A2:A6,Data!B2:B6)</f>
        <v/>
      </c>
      <c r="D24" t="n">
        <v>15</v>
      </c>
      <c r="E24">
        <f>IF(ISNUMBER(C24),IF(ABS(C24-D24)&lt;0.000000001,"OK","FAIL"),"FAIL")</f>
        <v/>
      </c>
    </row>
    <row r="25">
      <c r="A25" t="inlineStr">
        <is>
          <t>LOO024</t>
        </is>
      </c>
      <c r="B25" t="inlineStr"/>
      <c r="C25">
        <f>XLOOKUP("Zzz",Data!A2:A6,Data!B2:B6,"missing")</f>
        <v/>
      </c>
      <c r="D25" t="inlineStr">
        <is>
          <t>missing</t>
        </is>
      </c>
      <c r="E25">
        <f>IF(ISTEXT(C25),IF(EXACT(C25,D25),"OK","FAIL"),"FAIL")</f>
        <v/>
      </c>
    </row>
    <row r="26">
      <c r="A26" t="inlineStr">
        <is>
          <t>LOO025</t>
        </is>
      </c>
      <c r="B26" t="inlineStr">
        <is>
          <t>vector LOOKUP approx</t>
        </is>
      </c>
      <c r="C26">
        <f>LOOKUP(35,Data!F3:F7)</f>
        <v/>
      </c>
      <c r="D26" t="n">
        <v>30</v>
      </c>
      <c r="E26">
        <f>IF(ISNUMBER(C26),IF(ABS(C26-D26)&lt;0.000000001,"OK","FAIL"),"FAIL")</f>
        <v/>
      </c>
    </row>
    <row r="27">
      <c r="A27" t="inlineStr">
        <is>
          <t>LOO026</t>
        </is>
      </c>
      <c r="B27" t="inlineStr"/>
      <c r="C27">
        <f>ERROR.TYPE(1/0)</f>
        <v/>
      </c>
      <c r="D27" t="n">
        <v>2</v>
      </c>
      <c r="E27">
        <f>IF(ISNUMBER(C27),IF(ABS(C27-D27)&lt;0.000000001,"OK","FAIL"),"FAIL")</f>
        <v/>
      </c>
    </row>
    <row r="28">
      <c r="A28" t="inlineStr">
        <is>
          <t>LOO027</t>
        </is>
      </c>
      <c r="B28" t="inlineStr"/>
      <c r="C28">
        <f>TYPE(1)</f>
        <v/>
      </c>
      <c r="D28" t="n">
        <v>1</v>
      </c>
      <c r="E28">
        <f>IF(ISNUMBER(C28),IF(ABS(C28-D28)&lt;0.000000001,"OK","FAIL"),"FAIL")</f>
        <v/>
      </c>
    </row>
    <row r="29">
      <c r="A29" t="inlineStr">
        <is>
          <t>LOO028</t>
        </is>
      </c>
      <c r="B29" t="inlineStr"/>
      <c r="C29">
        <f>TYPE("a")</f>
        <v/>
      </c>
      <c r="D29" t="n">
        <v>2</v>
      </c>
      <c r="E29">
        <f>IF(ISNUMBER(C29),IF(ABS(C29-D29)&lt;0.000000001,"OK","FAIL"),"FAIL")</f>
        <v/>
      </c>
    </row>
    <row r="30">
      <c r="A30" t="inlineStr">
        <is>
          <t>LOO029</t>
        </is>
      </c>
      <c r="B30" t="inlineStr"/>
      <c r="C30">
        <f>TYPE(TRUE)</f>
        <v/>
      </c>
      <c r="D30" t="n">
        <v>4</v>
      </c>
      <c r="E30">
        <f>IF(ISNUMBER(C30),IF(ABS(C30-D30)&lt;0.000000001,"OK","FAIL"),"FAIL")</f>
        <v/>
      </c>
    </row>
    <row r="31">
      <c r="A31" t="inlineStr">
        <is>
          <t>LOO030</t>
        </is>
      </c>
      <c r="B31" t="inlineStr"/>
      <c r="C31">
        <f>N(TRUE)</f>
        <v/>
      </c>
      <c r="D31" t="n">
        <v>1</v>
      </c>
      <c r="E31">
        <f>IF(ISNUMBER(C31),IF(ABS(C31-D31)&lt;0.000000001,"OK","FAIL"),"FAIL")</f>
        <v/>
      </c>
    </row>
    <row r="32">
      <c r="A32" t="inlineStr">
        <is>
          <t>LOO031</t>
        </is>
      </c>
      <c r="B32" t="inlineStr"/>
      <c r="C32">
        <f>N("a")</f>
        <v/>
      </c>
      <c r="D32" t="n">
        <v>0</v>
      </c>
      <c r="E32">
        <f>IF(ISNUMBER(C32),IF(ABS(C32-D32)&lt;0.000000001,"OK","FAIL"),"FAIL")</f>
        <v/>
      </c>
    </row>
    <row r="33">
      <c r="A33" t="inlineStr">
        <is>
          <t>LOO032</t>
        </is>
      </c>
      <c r="B33" t="inlineStr"/>
      <c r="C33">
        <f>ADDRESS(1,1)</f>
        <v/>
      </c>
      <c r="D33" t="inlineStr">
        <is>
          <t>$A$1</t>
        </is>
      </c>
      <c r="E33">
        <f>IF(ISTEXT(C33),IF(EXACT(C33,D33),"OK","FAIL"),"FAIL")</f>
        <v/>
      </c>
    </row>
    <row r="34">
      <c r="A34" t="inlineStr">
        <is>
          <t>LOO033</t>
        </is>
      </c>
      <c r="B34" t="inlineStr">
        <is>
          <t>row absolute</t>
        </is>
      </c>
      <c r="C34">
        <f>ADDRESS(2,3,2)</f>
        <v/>
      </c>
      <c r="D34" t="inlineStr">
        <is>
          <t>C$2</t>
        </is>
      </c>
      <c r="E34">
        <f>IF(ISTEXT(C34),IF(EXACT(C34,D34),"OK","FAIL"),"FAIL")</f>
        <v/>
      </c>
    </row>
    <row r="35">
      <c r="A35" t="inlineStr">
        <is>
          <t>LOO034</t>
        </is>
      </c>
      <c r="B35" t="inlineStr">
        <is>
          <t>column absolute</t>
        </is>
      </c>
      <c r="C35">
        <f>ADDRESS(2,3,3)</f>
        <v/>
      </c>
      <c r="D35" t="inlineStr">
        <is>
          <t>$C2</t>
        </is>
      </c>
      <c r="E35">
        <f>IF(ISTEXT(C35),IF(EXACT(C35,D35),"OK","FAIL"),"FAIL")</f>
        <v/>
      </c>
    </row>
    <row r="36">
      <c r="A36" t="inlineStr">
        <is>
          <t>LOO035</t>
        </is>
      </c>
      <c r="B36" t="inlineStr">
        <is>
          <t>relative</t>
        </is>
      </c>
      <c r="C36">
        <f>ADDRESS(2,3,4)</f>
        <v/>
      </c>
      <c r="D36" t="inlineStr">
        <is>
          <t>C2</t>
        </is>
      </c>
      <c r="E36">
        <f>IF(ISTEXT(C36),IF(EXACT(C36,D36),"OK","FAIL"),"FAIL")</f>
        <v/>
      </c>
    </row>
    <row r="37">
      <c r="A37" t="inlineStr">
        <is>
          <t>LOO036</t>
        </is>
      </c>
      <c r="B37" t="inlineStr">
        <is>
          <t>R1C1 absolute</t>
        </is>
      </c>
      <c r="C37">
        <f>ADDRESS(2,3,1,FALSE)</f>
        <v/>
      </c>
      <c r="D37" t="inlineStr">
        <is>
          <t>R2C3</t>
        </is>
      </c>
      <c r="E37">
        <f>IF(ISTEXT(C37),IF(EXACT(C37,D37),"OK","FAIL"),"FAIL")</f>
        <v/>
      </c>
    </row>
    <row r="38">
      <c r="A38" t="inlineStr">
        <is>
          <t>LOO037</t>
        </is>
      </c>
      <c r="B38" t="inlineStr">
        <is>
          <t>R1C1 relative</t>
        </is>
      </c>
      <c r="C38">
        <f>ADDRESS(2,3,4,FALSE)</f>
        <v/>
      </c>
      <c r="D38" t="inlineStr">
        <is>
          <t>R[2]C[3]</t>
        </is>
      </c>
      <c r="E38">
        <f>IF(ISTEXT(C38),IF(EXACT(C38,D38),"OK","FAIL"),"FAIL")</f>
        <v/>
      </c>
    </row>
    <row r="39">
      <c r="A39" t="inlineStr">
        <is>
          <t>LOO038</t>
        </is>
      </c>
      <c r="B39" t="inlineStr">
        <is>
          <t>sheet prefix</t>
        </is>
      </c>
      <c r="C39">
        <f>ADDRESS(1,1,1,TRUE,"Data")</f>
        <v/>
      </c>
      <c r="D39" t="inlineStr">
        <is>
          <t>Data!$A$1</t>
        </is>
      </c>
      <c r="E39">
        <f>IF(ISTEXT(C39),IF(EXACT(C39,D39),"OK","FAIL"),"FAIL")</f>
        <v/>
      </c>
    </row>
    <row r="40">
      <c r="A40" t="inlineStr">
        <is>
          <t>LOO039</t>
        </is>
      </c>
      <c r="B40" t="inlineStr">
        <is>
          <t>quoted sheet</t>
        </is>
      </c>
      <c r="C40">
        <f>ADDRESS(1,1,1,TRUE,"My Sheet")</f>
        <v/>
      </c>
      <c r="D40" t="inlineStr">
        <is>
          <t>'My Sheet'!$A$1</t>
        </is>
      </c>
      <c r="E40">
        <f>IF(ISTEXT(C40),IF(EXACT(C40,D40),"OK","FAIL"),"FAIL")</f>
        <v/>
      </c>
    </row>
    <row r="41">
      <c r="A41" t="inlineStr">
        <is>
          <t>LOO040</t>
        </is>
      </c>
      <c r="B41" t="inlineStr">
        <is>
          <t>beyond last column</t>
        </is>
      </c>
      <c r="C41">
        <f>ADDRESS(1,16385)</f>
        <v/>
      </c>
      <c r="D41" t="e">
        <v>#VALUE!</v>
      </c>
      <c r="E41">
        <f>IF(IFERROR(ERROR.TYPE(C41),0)=3,"OK","FAIL")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DAT001</t>
        </is>
      </c>
      <c r="B2" t="inlineStr"/>
      <c r="C2">
        <f>DATE(2026,8,3)</f>
        <v/>
      </c>
      <c r="D2" t="n">
        <v>46237</v>
      </c>
      <c r="E2">
        <f>IF(ISNUMBER(C2),IF(ABS(C2-D2)&lt;0.000000001,"OK","FAIL"),"FAIL")</f>
        <v/>
      </c>
    </row>
    <row r="3">
      <c r="A3" t="inlineStr">
        <is>
          <t>DAT002</t>
        </is>
      </c>
      <c r="B3" t="inlineStr"/>
      <c r="C3">
        <f>YEAR(DATE(2026,8,3))</f>
        <v/>
      </c>
      <c r="D3" t="n">
        <v>2026</v>
      </c>
      <c r="E3">
        <f>IF(ISNUMBER(C3),IF(ABS(C3-D3)&lt;0.000000001,"OK","FAIL"),"FAIL")</f>
        <v/>
      </c>
    </row>
    <row r="4">
      <c r="A4" t="inlineStr">
        <is>
          <t>DAT003</t>
        </is>
      </c>
      <c r="B4" t="inlineStr"/>
      <c r="C4">
        <f>MONTH(DATE(2026,8,3))</f>
        <v/>
      </c>
      <c r="D4" t="n">
        <v>8</v>
      </c>
      <c r="E4">
        <f>IF(ISNUMBER(C4),IF(ABS(C4-D4)&lt;0.000000001,"OK","FAIL"),"FAIL")</f>
        <v/>
      </c>
    </row>
    <row r="5">
      <c r="A5" t="inlineStr">
        <is>
          <t>DAT004</t>
        </is>
      </c>
      <c r="B5" t="inlineStr"/>
      <c r="C5">
        <f>DAY(DATE(2026,8,3))</f>
        <v/>
      </c>
      <c r="D5" t="n">
        <v>3</v>
      </c>
      <c r="E5">
        <f>IF(ISNUMBER(C5),IF(ABS(C5-D5)&lt;0.000000001,"OK","FAIL"),"FAIL")</f>
        <v/>
      </c>
    </row>
    <row r="6">
      <c r="A6" t="inlineStr">
        <is>
          <t>DAT005</t>
        </is>
      </c>
      <c r="B6" t="inlineStr">
        <is>
          <t>month overflow rolls</t>
        </is>
      </c>
      <c r="C6">
        <f>DATE(2026,13,1)</f>
        <v/>
      </c>
      <c r="D6" t="n">
        <v>46388</v>
      </c>
      <c r="E6">
        <f>IF(ISNUMBER(C6),IF(ABS(C6-D6)&lt;0.000000001,"OK","FAIL"),"FAIL")</f>
        <v/>
      </c>
    </row>
    <row r="7">
      <c r="A7" t="inlineStr">
        <is>
          <t>DAT006</t>
        </is>
      </c>
      <c r="B7" t="inlineStr">
        <is>
          <t>day overflow rolls</t>
        </is>
      </c>
      <c r="C7">
        <f>DATE(2026,2,30)</f>
        <v/>
      </c>
      <c r="D7" t="n">
        <v>46083</v>
      </c>
      <c r="E7">
        <f>IF(ISNUMBER(C7),IF(ABS(C7-D7)&lt;0.000000001,"OK","FAIL"),"FAIL")</f>
        <v/>
      </c>
    </row>
    <row r="8">
      <c r="A8" t="inlineStr">
        <is>
          <t>DAT007</t>
        </is>
      </c>
      <c r="B8" t="inlineStr">
        <is>
          <t>2026-08-03 is a Monday</t>
        </is>
      </c>
      <c r="C8">
        <f>WEEKDAY(DATE(2026,8,3))</f>
        <v/>
      </c>
      <c r="D8" t="n">
        <v>2</v>
      </c>
      <c r="E8">
        <f>IF(ISNUMBER(C8),IF(ABS(C8-D8)&lt;0.000000001,"OK","FAIL"),"FAIL")</f>
        <v/>
      </c>
    </row>
    <row r="9">
      <c r="A9" t="inlineStr">
        <is>
          <t>DAT008</t>
        </is>
      </c>
      <c r="B9" t="inlineStr">
        <is>
          <t>type 2: Monday=1</t>
        </is>
      </c>
      <c r="C9">
        <f>WEEKDAY(DATE(2026,8,3),2)</f>
        <v/>
      </c>
      <c r="D9" t="n">
        <v>1</v>
      </c>
      <c r="E9">
        <f>IF(ISNUMBER(C9),IF(ABS(C9-D9)&lt;0.000000001,"OK","FAIL"),"FAIL")</f>
        <v/>
      </c>
    </row>
    <row r="10">
      <c r="A10" t="inlineStr">
        <is>
          <t>DAT009</t>
        </is>
      </c>
      <c r="B10" t="inlineStr">
        <is>
          <t>clamps to month end</t>
        </is>
      </c>
      <c r="C10">
        <f>EDATE(DATE(2026,1,31),1)</f>
        <v/>
      </c>
      <c r="D10" t="n">
        <v>46081</v>
      </c>
      <c r="E10">
        <f>IF(ISNUMBER(C10),IF(ABS(C10-D10)&lt;0.000000001,"OK","FAIL"),"FAIL")</f>
        <v/>
      </c>
    </row>
    <row r="11">
      <c r="A11" t="inlineStr">
        <is>
          <t>DAT010</t>
        </is>
      </c>
      <c r="B11" t="inlineStr"/>
      <c r="C11">
        <f>EOMONTH(DATE(2026,2,10),0)</f>
        <v/>
      </c>
      <c r="D11" t="n">
        <v>46081</v>
      </c>
      <c r="E11">
        <f>IF(ISNUMBER(C11),IF(ABS(C11-D11)&lt;0.000000001,"OK","FAIL"),"FAIL")</f>
        <v/>
      </c>
    </row>
    <row r="12">
      <c r="A12" t="inlineStr">
        <is>
          <t>DAT011</t>
        </is>
      </c>
      <c r="B12" t="inlineStr">
        <is>
          <t>leap year</t>
        </is>
      </c>
      <c r="C12">
        <f>EOMONTH(DATE(2024,2,10),0)</f>
        <v/>
      </c>
      <c r="D12" t="n">
        <v>45351</v>
      </c>
      <c r="E12">
        <f>IF(ISNUMBER(C12),IF(ABS(C12-D12)&lt;0.000000001,"OK","FAIL"),"FAIL")</f>
        <v/>
      </c>
    </row>
    <row r="13">
      <c r="A13" t="inlineStr">
        <is>
          <t>DAT012</t>
        </is>
      </c>
      <c r="B13" t="inlineStr"/>
      <c r="C13">
        <f>DAYS(DATE(2026,12,31),DATE(2026,1,1))</f>
        <v/>
      </c>
      <c r="D13" t="n">
        <v>364</v>
      </c>
      <c r="E13">
        <f>IF(ISNUMBER(C13),IF(ABS(C13-D13)&lt;0.000000001,"OK","FAIL"),"FAIL")</f>
        <v/>
      </c>
    </row>
    <row r="14">
      <c r="A14" t="inlineStr">
        <is>
          <t>DAT013</t>
        </is>
      </c>
      <c r="B14" t="inlineStr">
        <is>
          <t>US method</t>
        </is>
      </c>
      <c r="C14">
        <f>DAYS360(DATE(2026,1,1),DATE(2026,12,31))</f>
        <v/>
      </c>
      <c r="D14" t="n">
        <v>360</v>
      </c>
      <c r="E14">
        <f>IF(ISNUMBER(C14),IF(ABS(C14-D14)&lt;0.000000001,"OK","FAIL"),"FAIL")</f>
        <v/>
      </c>
    </row>
    <row r="15">
      <c r="A15" t="inlineStr">
        <is>
          <t>DAT014</t>
        </is>
      </c>
      <c r="B15" t="inlineStr"/>
      <c r="C15">
        <f>DATEDIF(DATE(2020,1,15),DATE(2026,8,3),"Y")</f>
        <v/>
      </c>
      <c r="D15" t="n">
        <v>6</v>
      </c>
      <c r="E15">
        <f>IF(ISNUMBER(C15),IF(ABS(C15-D15)&lt;0.000000001,"OK","FAIL"),"FAIL")</f>
        <v/>
      </c>
    </row>
    <row r="16">
      <c r="A16" t="inlineStr">
        <is>
          <t>DAT015</t>
        </is>
      </c>
      <c r="B16" t="inlineStr"/>
      <c r="C16">
        <f>DATEDIF(DATE(2020,1,15),DATE(2026,8,3),"M")</f>
        <v/>
      </c>
      <c r="D16" t="n">
        <v>78</v>
      </c>
      <c r="E16">
        <f>IF(ISNUMBER(C16),IF(ABS(C16-D16)&lt;0.000000001,"OK","FAIL"),"FAIL")</f>
        <v/>
      </c>
    </row>
    <row r="17">
      <c r="A17" t="inlineStr">
        <is>
          <t>DAT016</t>
        </is>
      </c>
      <c r="B17" t="inlineStr"/>
      <c r="C17">
        <f>TIME(12,30,0)</f>
        <v/>
      </c>
      <c r="D17" t="n">
        <v>0.5208333333333334</v>
      </c>
      <c r="E17">
        <f>IF(ISNUMBER(C17),IF(ABS(C17-D17)&lt;0.000000001,"OK","FAIL"),"FAIL")</f>
        <v/>
      </c>
    </row>
    <row r="18">
      <c r="A18" t="inlineStr">
        <is>
          <t>DAT017</t>
        </is>
      </c>
      <c r="B18" t="inlineStr"/>
      <c r="C18">
        <f>HOUR(0.75)</f>
        <v/>
      </c>
      <c r="D18" t="n">
        <v>18</v>
      </c>
      <c r="E18">
        <f>IF(ISNUMBER(C18),IF(ABS(C18-D18)&lt;0.000000001,"OK","FAIL"),"FAIL")</f>
        <v/>
      </c>
    </row>
    <row r="19">
      <c r="A19" t="inlineStr">
        <is>
          <t>DAT018</t>
        </is>
      </c>
      <c r="B19" t="inlineStr"/>
      <c r="C19">
        <f>MINUTE(TIME(1,23,45))</f>
        <v/>
      </c>
      <c r="D19" t="n">
        <v>23</v>
      </c>
      <c r="E19">
        <f>IF(ISNUMBER(C19),IF(ABS(C19-D19)&lt;0.000000001,"OK","FAIL"),"FAIL")</f>
        <v/>
      </c>
    </row>
    <row r="20">
      <c r="A20" t="inlineStr">
        <is>
          <t>DAT019</t>
        </is>
      </c>
      <c r="B20" t="inlineStr"/>
      <c r="C20">
        <f>SECOND(TIME(1,2,3))</f>
        <v/>
      </c>
      <c r="D20" t="n">
        <v>3</v>
      </c>
      <c r="E20">
        <f>IF(ISNUMBER(C20),IF(ABS(C20-D20)&lt;0.000000001,"OK","FAIL"),"FAIL")</f>
        <v/>
      </c>
    </row>
    <row r="21">
      <c r="A21" t="inlineStr">
        <is>
          <t>DAT020</t>
        </is>
      </c>
      <c r="B21" t="inlineStr">
        <is>
          <t>ISO parse</t>
        </is>
      </c>
      <c r="C21">
        <f>DATEVALUE("2026-08-03")</f>
        <v/>
      </c>
      <c r="D21" t="n">
        <v>46237</v>
      </c>
      <c r="E21">
        <f>IF(ISNUMBER(C21),IF(ABS(C21-D21)&lt;0.000000001,"OK","FAIL"),"FAIL")</f>
        <v/>
      </c>
    </row>
    <row r="22">
      <c r="A22" t="inlineStr">
        <is>
          <t>DAT021</t>
        </is>
      </c>
      <c r="B22" t="inlineStr"/>
      <c r="C22">
        <f>TIMEVALUE("12:00")</f>
        <v/>
      </c>
      <c r="D22" t="n">
        <v>0.5</v>
      </c>
      <c r="E22">
        <f>IF(ISNUMBER(C22),IF(ABS(C22-D22)&lt;0.000000001,"OK","FAIL"),"FAIL")</f>
        <v/>
      </c>
    </row>
    <row r="23">
      <c r="A23" t="inlineStr">
        <is>
          <t>DAT022</t>
        </is>
      </c>
      <c r="B23" t="inlineStr"/>
      <c r="C23">
        <f>WEEKNUM(DATE(2026,1,1))</f>
        <v/>
      </c>
      <c r="D23" t="n">
        <v>1</v>
      </c>
      <c r="E23">
        <f>IF(ISNUMBER(C23),IF(ABS(C23-D23)&lt;0.000000001,"OK","FAIL"),"FAIL")</f>
        <v/>
      </c>
    </row>
    <row r="24">
      <c r="A24" t="inlineStr">
        <is>
          <t>DAT023</t>
        </is>
      </c>
      <c r="B24" t="inlineStr">
        <is>
          <t>Jan 1 2026 is a Thursday</t>
        </is>
      </c>
      <c r="C24">
        <f>ISOWEEKNUM(DATE(2026,1,1))</f>
        <v/>
      </c>
      <c r="D24" t="n">
        <v>1</v>
      </c>
      <c r="E24">
        <f>IF(ISNUMBER(C24),IF(ABS(C24-D24)&lt;0.000000001,"OK","FAIL"),"FAIL")</f>
        <v/>
      </c>
    </row>
    <row r="25">
      <c r="A25" t="inlineStr">
        <is>
          <t>DAT024</t>
        </is>
      </c>
      <c r="B25" t="inlineStr">
        <is>
          <t>Mon..Fri</t>
        </is>
      </c>
      <c r="C25">
        <f>NETWORKDAYS(DATE(2026,8,3),DATE(2026,8,7))</f>
        <v/>
      </c>
      <c r="D25" t="n">
        <v>5</v>
      </c>
      <c r="E25">
        <f>IF(ISNUMBER(C25),IF(ABS(C25-D25)&lt;0.000000001,"OK","FAIL"),"FAIL")</f>
        <v/>
      </c>
    </row>
    <row r="26">
      <c r="A26" t="inlineStr">
        <is>
          <t>DAT025</t>
        </is>
      </c>
      <c r="B26" t="inlineStr">
        <is>
          <t>Fri+1 skips weekend</t>
        </is>
      </c>
      <c r="C26">
        <f>WORKDAY(DATE(2026,8,7),1)</f>
        <v/>
      </c>
      <c r="D26" t="n">
        <v>46244</v>
      </c>
      <c r="E26">
        <f>IF(ISNUMBER(C26),IF(ABS(C26-D26)&lt;0.000000001,"OK","FAIL"),"FAIL")</f>
        <v/>
      </c>
    </row>
    <row r="27">
      <c r="A27" t="inlineStr">
        <is>
          <t>DAT026</t>
        </is>
      </c>
      <c r="B27" t="inlineStr">
        <is>
          <t>basis 0</t>
        </is>
      </c>
      <c r="C27">
        <f>YEARFRAC(DATE(2026,1,1),DATE(2027,1,1))</f>
        <v/>
      </c>
      <c r="D27" t="n">
        <v>1</v>
      </c>
      <c r="E27">
        <f>IF(ISNUMBER(C27),IF(ABS(C27-D27)&lt;0.000000001,"OK","FAIL"),"FAIL")</f>
        <v/>
      </c>
    </row>
    <row r="28">
      <c r="A28" t="inlineStr">
        <is>
          <t>DAT027</t>
        </is>
      </c>
      <c r="B28" t="inlineStr">
        <is>
          <t>shape check only</t>
        </is>
      </c>
      <c r="C28">
        <f>YEAR(TODAY())&gt;=2026</f>
        <v/>
      </c>
      <c r="D28" t="b">
        <v>1</v>
      </c>
      <c r="E28">
        <f>IF(ISLOGICAL(C28),IF(C28=D28,"OK","FAIL"),"FAIL")</f>
        <v/>
      </c>
    </row>
    <row r="29">
      <c r="A29" t="inlineStr">
        <is>
          <t>DAT028</t>
        </is>
      </c>
      <c r="B29" t="inlineStr">
        <is>
          <t>shape check only</t>
        </is>
      </c>
      <c r="C29">
        <f>NOW()&gt;=TODAY()</f>
        <v/>
      </c>
      <c r="D29" t="b">
        <v>1</v>
      </c>
      <c r="E29">
        <f>IF(ISLOGICAL(C29),IF(C29=D29,"OK","FAIL"),"FAIL")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STA001</t>
        </is>
      </c>
      <c r="B2" t="inlineStr"/>
      <c r="C2">
        <f>AVERAGE(Data!E1:E8)</f>
        <v/>
      </c>
      <c r="D2" t="n">
        <v>4.875</v>
      </c>
      <c r="E2">
        <f>IF(ISNUMBER(C2),IF(ABS(C2-D2)&lt;0.000000001,"OK","FAIL"),"FAIL")</f>
        <v/>
      </c>
    </row>
    <row r="3">
      <c r="A3" t="inlineStr">
        <is>
          <t>STA002</t>
        </is>
      </c>
      <c r="B3" t="inlineStr"/>
      <c r="C3">
        <f>AVERAGE(1,2,3)</f>
        <v/>
      </c>
      <c r="D3" t="n">
        <v>2</v>
      </c>
      <c r="E3">
        <f>IF(ISNUMBER(C3),IF(ABS(C3-D3)&lt;0.000000001,"OK","FAIL"),"FAIL")</f>
        <v/>
      </c>
    </row>
    <row r="4">
      <c r="A4" t="inlineStr">
        <is>
          <t>STA003</t>
        </is>
      </c>
      <c r="B4" t="inlineStr">
        <is>
          <t>TRUE counts as 1</t>
        </is>
      </c>
      <c r="C4">
        <f>AVERAGEA(1,TRUE)</f>
        <v/>
      </c>
      <c r="D4" t="n">
        <v>1</v>
      </c>
      <c r="E4">
        <f>IF(ISNUMBER(C4),IF(ABS(C4-D4)&lt;0.000000001,"OK","FAIL"),"FAIL")</f>
        <v/>
      </c>
    </row>
    <row r="5">
      <c r="A5" t="inlineStr">
        <is>
          <t>STA004</t>
        </is>
      </c>
      <c r="B5" t="inlineStr"/>
      <c r="C5">
        <f>MEDIAN(Data!E1:E8)</f>
        <v/>
      </c>
      <c r="D5" t="n">
        <v>4.5</v>
      </c>
      <c r="E5">
        <f>IF(ISNUMBER(C5),IF(ABS(C5-D5)&lt;0.000000001,"OK","FAIL"),"FAIL")</f>
        <v/>
      </c>
    </row>
    <row r="6">
      <c r="A6" t="inlineStr">
        <is>
          <t>STA005</t>
        </is>
      </c>
      <c r="B6" t="inlineStr"/>
      <c r="C6">
        <f>MAX(Data!E1:E8)</f>
        <v/>
      </c>
      <c r="D6" t="n">
        <v>9</v>
      </c>
      <c r="E6">
        <f>IF(ISNUMBER(C6),IF(ABS(C6-D6)&lt;0.000000001,"OK","FAIL"),"FAIL")</f>
        <v/>
      </c>
    </row>
    <row r="7">
      <c r="A7" t="inlineStr">
        <is>
          <t>STA006</t>
        </is>
      </c>
      <c r="B7" t="inlineStr"/>
      <c r="C7">
        <f>MIN(Data!E1:E8)</f>
        <v/>
      </c>
      <c r="D7" t="n">
        <v>1</v>
      </c>
      <c r="E7">
        <f>IF(ISNUMBER(C7),IF(ABS(C7-D7)&lt;0.000000001,"OK","FAIL"),"FAIL")</f>
        <v/>
      </c>
    </row>
    <row r="8">
      <c r="A8" t="inlineStr">
        <is>
          <t>STA007</t>
        </is>
      </c>
      <c r="B8" t="inlineStr"/>
      <c r="C8">
        <f>LARGE(Data!E1:E8,2)</f>
        <v/>
      </c>
      <c r="D8" t="n">
        <v>8</v>
      </c>
      <c r="E8">
        <f>IF(ISNUMBER(C8),IF(ABS(C8-D8)&lt;0.000000001,"OK","FAIL"),"FAIL")</f>
        <v/>
      </c>
    </row>
    <row r="9">
      <c r="A9" t="inlineStr">
        <is>
          <t>STA008</t>
        </is>
      </c>
      <c r="B9" t="inlineStr"/>
      <c r="C9">
        <f>SMALL(Data!E1:E8,3)</f>
        <v/>
      </c>
      <c r="D9" t="n">
        <v>3</v>
      </c>
      <c r="E9">
        <f>IF(ISNUMBER(C9),IF(ABS(C9-D9)&lt;0.000000001,"OK","FAIL"),"FAIL")</f>
        <v/>
      </c>
    </row>
    <row r="10">
      <c r="A10" t="inlineStr">
        <is>
          <t>STA009</t>
        </is>
      </c>
      <c r="B10" t="inlineStr">
        <is>
          <t>only the number; TRUE/text/error don't count</t>
        </is>
      </c>
      <c r="C10">
        <f>COUNT(Data!G1:G5)</f>
        <v/>
      </c>
      <c r="D10" t="n">
        <v>1</v>
      </c>
      <c r="E10">
        <f>IF(ISNUMBER(C10),IF(ABS(C10-D10)&lt;0.000000001,"OK","FAIL"),"FAIL")</f>
        <v/>
      </c>
    </row>
    <row r="11">
      <c r="A11" t="inlineStr">
        <is>
          <t>STA010</t>
        </is>
      </c>
      <c r="B11" t="inlineStr">
        <is>
          <t>everything but the blank</t>
        </is>
      </c>
      <c r="C11">
        <f>COUNTA(Data!G1:G5)</f>
        <v/>
      </c>
      <c r="D11" t="n">
        <v>4</v>
      </c>
      <c r="E11">
        <f>IF(ISNUMBER(C11),IF(ABS(C11-D11)&lt;0.000000001,"OK","FAIL"),"FAIL")</f>
        <v/>
      </c>
    </row>
    <row r="12">
      <c r="A12" t="inlineStr">
        <is>
          <t>STA011</t>
        </is>
      </c>
      <c r="B12" t="inlineStr"/>
      <c r="C12">
        <f>COUNTBLANK(Data!G1:G5)</f>
        <v/>
      </c>
      <c r="D12" t="n">
        <v>1</v>
      </c>
      <c r="E12">
        <f>IF(ISNUMBER(C12),IF(ABS(C12-D12)&lt;0.000000001,"OK","FAIL"),"FAIL")</f>
        <v/>
      </c>
    </row>
    <row r="13">
      <c r="A13" t="inlineStr">
        <is>
          <t>STA012</t>
        </is>
      </c>
      <c r="B13" t="inlineStr"/>
      <c r="C13">
        <f>COUNTIF(Data!E1:E8,"&gt;4")</f>
        <v/>
      </c>
      <c r="D13" t="n">
        <v>4</v>
      </c>
      <c r="E13">
        <f>IF(ISNUMBER(C13),IF(ABS(C13-D13)&lt;0.000000001,"OK","FAIL"),"FAIL")</f>
        <v/>
      </c>
    </row>
    <row r="14">
      <c r="A14" t="inlineStr">
        <is>
          <t>STA013</t>
        </is>
      </c>
      <c r="B14" t="inlineStr">
        <is>
          <t>wildcard contains</t>
        </is>
      </c>
      <c r="C14">
        <f>COUNTIF(Data!A2:A6,"*e*")</f>
        <v/>
      </c>
      <c r="D14" t="n">
        <v>4</v>
      </c>
      <c r="E14">
        <f>IF(ISNUMBER(C14),IF(ABS(C14-D14)&lt;0.000000001,"OK","FAIL"),"FAIL")</f>
        <v/>
      </c>
    </row>
    <row r="15">
      <c r="A15" t="inlineStr">
        <is>
          <t>STA014</t>
        </is>
      </c>
      <c r="B15" t="inlineStr"/>
      <c r="C15">
        <f>COUNTIFS(Data!E1:E8,"&gt;2",Data!E1:E8,"&lt;8")</f>
        <v/>
      </c>
      <c r="D15" t="n">
        <v>4</v>
      </c>
      <c r="E15">
        <f>IF(ISNUMBER(C15),IF(ABS(C15-D15)&lt;0.000000001,"OK","FAIL"),"FAIL")</f>
        <v/>
      </c>
    </row>
    <row r="16">
      <c r="A16" t="inlineStr">
        <is>
          <t>STA015</t>
        </is>
      </c>
      <c r="B16" t="inlineStr"/>
      <c r="C16">
        <f>AVERAGEIF(Data!E1:E8,"&gt;4")</f>
        <v/>
      </c>
      <c r="D16" t="n">
        <v>7.25</v>
      </c>
      <c r="E16">
        <f>IF(ISNUMBER(C16),IF(ABS(C16-D16)&lt;0.000000001,"OK","FAIL"),"FAIL")</f>
        <v/>
      </c>
    </row>
    <row r="17">
      <c r="A17" t="inlineStr">
        <is>
          <t>STA016</t>
        </is>
      </c>
      <c r="B17" t="inlineStr">
        <is>
          <t>exact</t>
        </is>
      </c>
      <c r="C17">
        <f>STDEV.P(2,4,4,4,5,5,7,9)</f>
        <v/>
      </c>
      <c r="D17" t="n">
        <v>2</v>
      </c>
      <c r="E17">
        <f>IF(ISNUMBER(C17),IF(ABS(C17-D17)&lt;0.000000001,"OK","FAIL"),"FAIL")</f>
        <v/>
      </c>
    </row>
    <row r="18">
      <c r="A18" t="inlineStr">
        <is>
          <t>STA017</t>
        </is>
      </c>
      <c r="B18" t="inlineStr">
        <is>
          <t>exact</t>
        </is>
      </c>
      <c r="C18">
        <f>VAR.P(2,4,4,4,5,5,7,9)</f>
        <v/>
      </c>
      <c r="D18" t="n">
        <v>4</v>
      </c>
      <c r="E18">
        <f>IF(ISNUMBER(C18),IF(ABS(C18-D18)&lt;0.000000001,"OK","FAIL"),"FAIL")</f>
        <v/>
      </c>
    </row>
    <row r="19">
      <c r="A19" t="inlineStr">
        <is>
          <t>STA018</t>
        </is>
      </c>
      <c r="B19" t="inlineStr">
        <is>
          <t>descending default</t>
        </is>
      </c>
      <c r="C19">
        <f>RANK.EQ(7,Data!E1:E8)</f>
        <v/>
      </c>
      <c r="D19" t="n">
        <v>3</v>
      </c>
      <c r="E19">
        <f>IF(ISNUMBER(C19),IF(ABS(C19-D19)&lt;0.000000001,"OK","FAIL"),"FAIL")</f>
        <v/>
      </c>
    </row>
    <row r="20">
      <c r="A20" t="inlineStr">
        <is>
          <t>STA019</t>
        </is>
      </c>
      <c r="B20" t="inlineStr"/>
      <c r="C20">
        <f>GEOMEAN(2,8)</f>
        <v/>
      </c>
      <c r="D20" t="n">
        <v>4</v>
      </c>
      <c r="E20">
        <f>IF(ISNUMBER(C20),IF(ABS(C20-D20)&lt;0.000000001,"OK","FAIL"),"FAIL")</f>
        <v/>
      </c>
    </row>
    <row r="21">
      <c r="A21" t="inlineStr">
        <is>
          <t>STA020</t>
        </is>
      </c>
      <c r="B21" t="inlineStr"/>
      <c r="C21">
        <f>HARMEAN(2,6)</f>
        <v/>
      </c>
      <c r="D21" t="n">
        <v>3</v>
      </c>
      <c r="E21">
        <f>IF(ISNUMBER(C21),IF(ABS(C21-D21)&lt;0.000000001,"OK","FAIL"),"FAIL")</f>
        <v/>
      </c>
    </row>
    <row r="22">
      <c r="A22" t="inlineStr">
        <is>
          <t>STA021</t>
        </is>
      </c>
      <c r="B22" t="inlineStr"/>
      <c r="C22">
        <f>DEVSQ(1,2,3)</f>
        <v/>
      </c>
      <c r="D22" t="n">
        <v>2</v>
      </c>
      <c r="E22">
        <f>IF(ISNUMBER(C22),IF(ABS(C22-D22)&lt;0.000000001,"OK","FAIL"),"FAIL")</f>
        <v/>
      </c>
    </row>
    <row r="23">
      <c r="A23" t="inlineStr">
        <is>
          <t>STA022</t>
        </is>
      </c>
      <c r="B23" t="inlineStr"/>
      <c r="C23">
        <f>MAXIFS(Data!B2:B6,Data!A2:A6,"&lt;&gt;Banana")</f>
        <v/>
      </c>
      <c r="D23" t="n">
        <v>15</v>
      </c>
      <c r="E23">
        <f>IF(ISNUMBER(C23),IF(ABS(C23-D23)&lt;0.000000001,"OK","FAIL"),"FAIL")</f>
        <v/>
      </c>
    </row>
    <row r="24">
      <c r="A24" t="inlineStr">
        <is>
          <t>STA023</t>
        </is>
      </c>
      <c r="B24" t="inlineStr"/>
      <c r="C24">
        <f>MINIFS(Data!B2:B6,Data!A2:A6,"&lt;&gt;Banana")</f>
        <v/>
      </c>
      <c r="D24" t="n">
        <v>5</v>
      </c>
      <c r="E24">
        <f>IF(ISNUMBER(C24),IF(ABS(C24-D24)&lt;0.000000001,"OK","FAIL"),"FAIL")</f>
        <v/>
      </c>
    </row>
    <row r="25">
      <c r="A25" t="inlineStr">
        <is>
          <t>STA024</t>
        </is>
      </c>
      <c r="B25" t="inlineStr"/>
      <c r="C25">
        <f>MODE(1,2,2,3)</f>
        <v/>
      </c>
      <c r="D25" t="n">
        <v>2</v>
      </c>
      <c r="E25">
        <f>IF(ISNUMBER(C25),IF(ABS(C25-D25)&lt;0.000000001,"OK","FAIL"),"FAIL")</f>
        <v/>
      </c>
    </row>
    <row r="26">
      <c r="A26" t="inlineStr">
        <is>
          <t>STA025</t>
        </is>
      </c>
      <c r="B26" t="inlineStr">
        <is>
          <t>tie goes to first seen</t>
        </is>
      </c>
      <c r="C26">
        <f>MODE(3,3,2,2)</f>
        <v/>
      </c>
      <c r="D26" t="n">
        <v>3</v>
      </c>
      <c r="E26">
        <f>IF(ISNUMBER(C26),IF(ABS(C26-D26)&lt;0.000000001,"OK","FAIL"),"FAIL")</f>
        <v/>
      </c>
    </row>
    <row r="27">
      <c r="A27" t="inlineStr">
        <is>
          <t>STA026</t>
        </is>
      </c>
      <c r="B27" t="inlineStr">
        <is>
          <t>no repeats</t>
        </is>
      </c>
      <c r="C27">
        <f>MODE(1,2,3)</f>
        <v/>
      </c>
      <c r="D27" t="e">
        <v>#N/A</v>
      </c>
      <c r="E27">
        <f>IF(IFERROR(ERROR.TYPE(C27),0)=7,"OK","FAIL")</f>
        <v/>
      </c>
    </row>
    <row r="28">
      <c r="A28" t="inlineStr">
        <is>
          <t>STA027</t>
        </is>
      </c>
      <c r="B28" t="inlineStr">
        <is>
          <t>all distinct</t>
        </is>
      </c>
      <c r="C28">
        <f>MODE(Data!E1:E8)</f>
        <v/>
      </c>
      <c r="D28" t="e">
        <v>#N/A</v>
      </c>
      <c r="E28">
        <f>IF(IFERROR(ERROR.TYPE(C28),0)=7,"OK","FAIL")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INF001</t>
        </is>
      </c>
      <c r="B2" t="inlineStr"/>
      <c r="C2">
        <f>ISBLANK(Data!G4)</f>
        <v/>
      </c>
      <c r="D2" t="b">
        <v>1</v>
      </c>
      <c r="E2">
        <f>IF(ISLOGICAL(C2),IF(C2=D2,"OK","FAIL"),"FAIL")</f>
        <v/>
      </c>
    </row>
    <row r="3">
      <c r="A3" t="inlineStr">
        <is>
          <t>INF002</t>
        </is>
      </c>
      <c r="B3" t="inlineStr">
        <is>
          <t>empty text is not blank</t>
        </is>
      </c>
      <c r="C3">
        <f>ISBLANK("")</f>
        <v/>
      </c>
      <c r="D3" t="b">
        <v>0</v>
      </c>
      <c r="E3">
        <f>IF(ISLOGICAL(C3),IF(C3=D3,"OK","FAIL"),"FAIL")</f>
        <v/>
      </c>
    </row>
    <row r="4">
      <c r="A4" t="inlineStr">
        <is>
          <t>INF003</t>
        </is>
      </c>
      <c r="B4" t="inlineStr"/>
      <c r="C4">
        <f>ISNUMBER(1)</f>
        <v/>
      </c>
      <c r="D4" t="b">
        <v>1</v>
      </c>
      <c r="E4">
        <f>IF(ISLOGICAL(C4),IF(C4=D4,"OK","FAIL"),"FAIL")</f>
        <v/>
      </c>
    </row>
    <row r="5">
      <c r="A5" t="inlineStr">
        <is>
          <t>INF004</t>
        </is>
      </c>
      <c r="B5" t="inlineStr">
        <is>
          <t>no coercion in IS*</t>
        </is>
      </c>
      <c r="C5">
        <f>ISNUMBER("1")</f>
        <v/>
      </c>
      <c r="D5" t="b">
        <v>0</v>
      </c>
      <c r="E5">
        <f>IF(ISLOGICAL(C5),IF(C5=D5,"OK","FAIL"),"FAIL")</f>
        <v/>
      </c>
    </row>
    <row r="6">
      <c r="A6" t="inlineStr">
        <is>
          <t>INF005</t>
        </is>
      </c>
      <c r="B6" t="inlineStr"/>
      <c r="C6">
        <f>ISTEXT("a")</f>
        <v/>
      </c>
      <c r="D6" t="b">
        <v>1</v>
      </c>
      <c r="E6">
        <f>IF(ISLOGICAL(C6),IF(C6=D6,"OK","FAIL"),"FAIL")</f>
        <v/>
      </c>
    </row>
    <row r="7">
      <c r="A7" t="inlineStr">
        <is>
          <t>INF006</t>
        </is>
      </c>
      <c r="B7" t="inlineStr"/>
      <c r="C7">
        <f>ISTEXT(1)</f>
        <v/>
      </c>
      <c r="D7" t="b">
        <v>0</v>
      </c>
      <c r="E7">
        <f>IF(ISLOGICAL(C7),IF(C7=D7,"OK","FAIL"),"FAIL")</f>
        <v/>
      </c>
    </row>
    <row r="8">
      <c r="A8" t="inlineStr">
        <is>
          <t>INF007</t>
        </is>
      </c>
      <c r="B8" t="inlineStr"/>
      <c r="C8">
        <f>ISLOGICAL(TRUE)</f>
        <v/>
      </c>
      <c r="D8" t="b">
        <v>1</v>
      </c>
      <c r="E8">
        <f>IF(ISLOGICAL(C8),IF(C8=D8,"OK","FAIL"),"FAIL")</f>
        <v/>
      </c>
    </row>
    <row r="9">
      <c r="A9" t="inlineStr">
        <is>
          <t>INF008</t>
        </is>
      </c>
      <c r="B9" t="inlineStr"/>
      <c r="C9">
        <f>ISLOGICAL(1)</f>
        <v/>
      </c>
      <c r="D9" t="b">
        <v>0</v>
      </c>
      <c r="E9">
        <f>IF(ISLOGICAL(C9),IF(C9=D9,"OK","FAIL"),"FAIL")</f>
        <v/>
      </c>
    </row>
    <row r="10">
      <c r="A10" t="inlineStr">
        <is>
          <t>INF009</t>
        </is>
      </c>
      <c r="B10" t="inlineStr"/>
      <c r="C10">
        <f>ISNA(NA())</f>
        <v/>
      </c>
      <c r="D10" t="b">
        <v>1</v>
      </c>
      <c r="E10">
        <f>IF(ISLOGICAL(C10),IF(C10=D10,"OK","FAIL"),"FAIL")</f>
        <v/>
      </c>
    </row>
    <row r="11">
      <c r="A11" t="inlineStr">
        <is>
          <t>INF010</t>
        </is>
      </c>
      <c r="B11" t="inlineStr"/>
      <c r="C11">
        <f>ISNA(1/0)</f>
        <v/>
      </c>
      <c r="D11" t="b">
        <v>0</v>
      </c>
      <c r="E11">
        <f>IF(ISLOGICAL(C11),IF(C11=D11,"OK","FAIL"),"FAIL")</f>
        <v/>
      </c>
    </row>
    <row r="12">
      <c r="A12" t="inlineStr">
        <is>
          <t>INF011</t>
        </is>
      </c>
      <c r="B12" t="inlineStr">
        <is>
          <t>ISERR = all errors except #N/A</t>
        </is>
      </c>
      <c r="C12">
        <f>ISERR(1/0)</f>
        <v/>
      </c>
      <c r="D12" t="b">
        <v>1</v>
      </c>
      <c r="E12">
        <f>IF(ISLOGICAL(C12),IF(C12=D12,"OK","FAIL"),"FAIL")</f>
        <v/>
      </c>
    </row>
    <row r="13">
      <c r="A13" t="inlineStr">
        <is>
          <t>INF012</t>
        </is>
      </c>
      <c r="B13" t="inlineStr"/>
      <c r="C13">
        <f>ISERR(NA())</f>
        <v/>
      </c>
      <c r="D13" t="b">
        <v>0</v>
      </c>
      <c r="E13">
        <f>IF(ISLOGICAL(C13),IF(C13=D13,"OK","FAIL"),"FAIL")</f>
        <v/>
      </c>
    </row>
    <row r="14">
      <c r="A14" t="inlineStr">
        <is>
          <t>INF013</t>
        </is>
      </c>
      <c r="B14" t="inlineStr"/>
      <c r="C14">
        <f>ISERROR(NA())</f>
        <v/>
      </c>
      <c r="D14" t="b">
        <v>1</v>
      </c>
      <c r="E14">
        <f>IF(ISLOGICAL(C14),IF(C14=D14,"OK","FAIL"),"FAIL")</f>
        <v/>
      </c>
    </row>
    <row r="15">
      <c r="A15" t="inlineStr">
        <is>
          <t>INF014</t>
        </is>
      </c>
      <c r="B15" t="inlineStr"/>
      <c r="C15">
        <f>ISEVEN(4)</f>
        <v/>
      </c>
      <c r="D15" t="b">
        <v>1</v>
      </c>
      <c r="E15">
        <f>IF(ISLOGICAL(C15),IF(C15=D15,"OK","FAIL"),"FAIL")</f>
        <v/>
      </c>
    </row>
    <row r="16">
      <c r="A16" t="inlineStr">
        <is>
          <t>INF015</t>
        </is>
      </c>
      <c r="B16" t="inlineStr">
        <is>
          <t>truncates first</t>
        </is>
      </c>
      <c r="C16">
        <f>ISEVEN(2.5)</f>
        <v/>
      </c>
      <c r="D16" t="b">
        <v>1</v>
      </c>
      <c r="E16">
        <f>IF(ISLOGICAL(C16),IF(C16=D16,"OK","FAIL"),"FAIL")</f>
        <v/>
      </c>
    </row>
    <row r="17">
      <c r="A17" t="inlineStr">
        <is>
          <t>INF016</t>
        </is>
      </c>
      <c r="B17" t="inlineStr"/>
      <c r="C17">
        <f>ISODD(4)</f>
        <v/>
      </c>
      <c r="D17" t="b">
        <v>0</v>
      </c>
      <c r="E17">
        <f>IF(ISLOGICAL(C17),IF(C17=D17,"OK","FAIL"),"FAIL")</f>
        <v/>
      </c>
    </row>
    <row r="18">
      <c r="A18" t="inlineStr">
        <is>
          <t>INF017</t>
        </is>
      </c>
      <c r="B18" t="inlineStr"/>
      <c r="C18">
        <f>ISNONTEXT(1)</f>
        <v/>
      </c>
      <c r="D18" t="b">
        <v>1</v>
      </c>
      <c r="E18">
        <f>IF(ISLOGICAL(C18),IF(C18=D18,"OK","FAIL"),"FAIL")</f>
        <v/>
      </c>
    </row>
    <row r="19">
      <c r="A19" t="inlineStr">
        <is>
          <t>INF018</t>
        </is>
      </c>
      <c r="B19" t="inlineStr"/>
      <c r="C19">
        <f>ISFORMULA(Data!J1)</f>
        <v/>
      </c>
      <c r="D19" t="b">
        <v>1</v>
      </c>
      <c r="E19">
        <f>IF(ISLOGICAL(C19),IF(C19=D19,"OK","FAIL"),"FAIL")</f>
        <v/>
      </c>
    </row>
    <row r="20">
      <c r="A20" t="inlineStr">
        <is>
          <t>INF019</t>
        </is>
      </c>
      <c r="B20" t="inlineStr"/>
      <c r="C20">
        <f>ISREF(Data!A1)</f>
        <v/>
      </c>
      <c r="D20" t="b">
        <v>1</v>
      </c>
      <c r="E20">
        <f>IF(ISLOGICAL(C20),IF(C20=D20,"OK","FAIL"),"FAIL")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FIN001</t>
        </is>
      </c>
      <c r="B2" t="inlineStr">
        <is>
          <t>vs closed form</t>
        </is>
      </c>
      <c r="C2">
        <f>PMT(0.05/12,360,200000)</f>
        <v/>
      </c>
      <c r="D2">
        <f>-200000*(0.05/12)/(1-(1+0.05/12)^-360)</f>
        <v/>
      </c>
      <c r="E2">
        <f>IF(ISNUMBER(C2),IF(ABS(C2-D2)&lt;0.000000001,"OK","FAIL"),"FAIL")</f>
        <v/>
      </c>
    </row>
    <row r="3">
      <c r="A3" t="inlineStr">
        <is>
          <t>FIN002</t>
        </is>
      </c>
      <c r="B3" t="inlineStr"/>
      <c r="C3">
        <f>FV(0.1,2,0,-100)</f>
        <v/>
      </c>
      <c r="D3" t="n">
        <v>121</v>
      </c>
      <c r="E3">
        <f>IF(ISNUMBER(C3),IF(ABS(C3-D3)&lt;0.000000001,"OK","FAIL"),"FAIL")</f>
        <v/>
      </c>
    </row>
    <row r="4">
      <c r="A4" t="inlineStr">
        <is>
          <t>FIN003</t>
        </is>
      </c>
      <c r="B4" t="inlineStr"/>
      <c r="C4">
        <f>PV(0.1,1,0,-110)</f>
        <v/>
      </c>
      <c r="D4" t="n">
        <v>100</v>
      </c>
      <c r="E4">
        <f>IF(ISNUMBER(C4),IF(ABS(C4-D4)&lt;0.000000001,"OK","FAIL"),"FAIL")</f>
        <v/>
      </c>
    </row>
    <row r="5">
      <c r="A5" t="inlineStr">
        <is>
          <t>FIN004</t>
        </is>
      </c>
      <c r="B5" t="inlineStr"/>
      <c r="C5">
        <f>NPER(0.1,0,-100,121)</f>
        <v/>
      </c>
      <c r="D5" t="n">
        <v>2</v>
      </c>
      <c r="E5">
        <f>IF(ISNUMBER(C5),IF(ABS(C5-D5)&lt;0.000000001,"OK","FAIL"),"FAIL")</f>
        <v/>
      </c>
    </row>
    <row r="6">
      <c r="A6" t="inlineStr">
        <is>
          <t>FIN005</t>
        </is>
      </c>
      <c r="B6" t="inlineStr"/>
      <c r="C6">
        <f>RATE(2,0,-100,121)</f>
        <v/>
      </c>
      <c r="D6" t="n">
        <v>0.1</v>
      </c>
      <c r="E6">
        <f>IF(ISNUMBER(C6),IF(ABS(C6-D6)&lt;0.000000001,"OK","FAIL"),"FAIL")</f>
        <v/>
      </c>
    </row>
    <row r="7">
      <c r="A7" t="inlineStr">
        <is>
          <t>FIN006</t>
        </is>
      </c>
      <c r="B7" t="inlineStr">
        <is>
          <t>vs closed form</t>
        </is>
      </c>
      <c r="C7">
        <f>NPV(0.1,100,200)</f>
        <v/>
      </c>
      <c r="D7">
        <f>100/1.1+200/1.1^2</f>
        <v/>
      </c>
      <c r="E7">
        <f>IF(ISNUMBER(C7),IF(ABS(C7-D7)&lt;0.000000001,"OK","FAIL"),"FAIL")</f>
        <v/>
      </c>
    </row>
    <row r="8">
      <c r="A8" t="inlineStr">
        <is>
          <t>FIN007</t>
        </is>
      </c>
      <c r="B8" t="inlineStr">
        <is>
          <t>-100 then 110</t>
        </is>
      </c>
      <c r="C8">
        <f>IRR(Data!O1:O2)</f>
        <v/>
      </c>
      <c r="D8" t="n">
        <v>0.1</v>
      </c>
      <c r="E8">
        <f>IF(ISNUMBER(C8),IF(ABS(C8-D8)&lt;0.000000001,"OK","FAIL"),"FAIL")</f>
        <v/>
      </c>
    </row>
    <row r="9">
      <c r="A9" t="inlineStr">
        <is>
          <t>FIN008</t>
        </is>
      </c>
      <c r="B9" t="inlineStr"/>
      <c r="C9">
        <f>SLN(10000,1000,5)</f>
        <v/>
      </c>
      <c r="D9" t="n">
        <v>1800</v>
      </c>
      <c r="E9">
        <f>IF(ISNUMBER(C9),IF(ABS(C9-D9)&lt;0.000000001,"OK","FAIL"),"FAIL")</f>
        <v/>
      </c>
    </row>
    <row r="10">
      <c r="A10" t="inlineStr">
        <is>
          <t>FIN009</t>
        </is>
      </c>
      <c r="B10" t="inlineStr"/>
      <c r="C10">
        <f>DDB(10000,1000,5,1)</f>
        <v/>
      </c>
      <c r="D10" t="n">
        <v>4000</v>
      </c>
      <c r="E10">
        <f>IF(ISNUMBER(C10),IF(ABS(C10-D10)&lt;0.000000001,"OK","FAIL"),"FAIL")</f>
        <v/>
      </c>
    </row>
    <row r="11">
      <c r="A11" t="inlineStr">
        <is>
          <t>FIN010</t>
        </is>
      </c>
      <c r="B11" t="inlineStr"/>
      <c r="C11">
        <f>SYD(10000,1000,5,1)</f>
        <v/>
      </c>
      <c r="D11" t="n">
        <v>3000</v>
      </c>
      <c r="E11">
        <f>IF(ISNUMBER(C11),IF(ABS(C11-D11)&lt;0.000000001,"OK","FAIL"),"FAIL")</f>
        <v/>
      </c>
    </row>
    <row r="12">
      <c r="A12" t="inlineStr">
        <is>
          <t>FIN011</t>
        </is>
      </c>
      <c r="B12" t="inlineStr">
        <is>
          <t>vs closed form</t>
        </is>
      </c>
      <c r="C12">
        <f>EFFECT(0.12,12)</f>
        <v/>
      </c>
      <c r="D12">
        <f>1.01^12-1</f>
        <v/>
      </c>
      <c r="E12">
        <f>IF(ISNUMBER(C12),IF(ABS(C12-D12)&lt;0.000000001,"OK","FAIL"),"FAIL")</f>
        <v/>
      </c>
    </row>
    <row r="13">
      <c r="A13" t="inlineStr">
        <is>
          <t>FIN012</t>
        </is>
      </c>
      <c r="B13" t="inlineStr"/>
      <c r="C13">
        <f>NOMINAL(0.126825030131969,12)</f>
        <v/>
      </c>
      <c r="D13" t="n">
        <v>0.12</v>
      </c>
      <c r="E13">
        <f>IF(ISNUMBER(C13),IF(ABS(C13-D13)&lt;0.000000001,"OK","FAIL"),"FAIL")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ENG001</t>
        </is>
      </c>
      <c r="B2" t="inlineStr"/>
      <c r="C2">
        <f>BIN2DEC(1010)</f>
        <v/>
      </c>
      <c r="D2" t="n">
        <v>10</v>
      </c>
      <c r="E2">
        <f>IF(ISNUMBER(C2),IF(ABS(C2-D2)&lt;0.000000001,"OK","FAIL"),"FAIL")</f>
        <v/>
      </c>
    </row>
    <row r="3">
      <c r="A3" t="inlineStr">
        <is>
          <t>ENG002</t>
        </is>
      </c>
      <c r="B3" t="inlineStr"/>
      <c r="C3">
        <f>DEC2BIN(10)</f>
        <v/>
      </c>
      <c r="D3" t="inlineStr">
        <is>
          <t>1010</t>
        </is>
      </c>
      <c r="E3">
        <f>IF(ISTEXT(C3),IF(EXACT(C3,D3),"OK","FAIL"),"FAIL")</f>
        <v/>
      </c>
    </row>
    <row r="4">
      <c r="A4" t="inlineStr">
        <is>
          <t>ENG003</t>
        </is>
      </c>
      <c r="B4" t="inlineStr"/>
      <c r="C4">
        <f>HEX2DEC("FF")</f>
        <v/>
      </c>
      <c r="D4" t="n">
        <v>255</v>
      </c>
      <c r="E4">
        <f>IF(ISNUMBER(C4),IF(ABS(C4-D4)&lt;0.000000001,"OK","FAIL"),"FAIL")</f>
        <v/>
      </c>
    </row>
    <row r="5">
      <c r="A5" t="inlineStr">
        <is>
          <t>ENG004</t>
        </is>
      </c>
      <c r="B5" t="inlineStr"/>
      <c r="C5">
        <f>DEC2HEX(255)</f>
        <v/>
      </c>
      <c r="D5" t="inlineStr">
        <is>
          <t>FF</t>
        </is>
      </c>
      <c r="E5">
        <f>IF(ISTEXT(C5),IF(EXACT(C5,D5),"OK","FAIL"),"FAIL")</f>
        <v/>
      </c>
    </row>
    <row r="6">
      <c r="A6" t="inlineStr">
        <is>
          <t>ENG005</t>
        </is>
      </c>
      <c r="B6" t="inlineStr"/>
      <c r="C6">
        <f>OCT2DEC(17)</f>
        <v/>
      </c>
      <c r="D6" t="n">
        <v>15</v>
      </c>
      <c r="E6">
        <f>IF(ISNUMBER(C6),IF(ABS(C6-D6)&lt;0.000000001,"OK","FAIL"),"FAIL")</f>
        <v/>
      </c>
    </row>
    <row r="7">
      <c r="A7" t="inlineStr">
        <is>
          <t>ENG006</t>
        </is>
      </c>
      <c r="B7" t="inlineStr"/>
      <c r="C7">
        <f>DEC2OCT(15)</f>
        <v/>
      </c>
      <c r="D7" t="inlineStr">
        <is>
          <t>17</t>
        </is>
      </c>
      <c r="E7">
        <f>IF(ISTEXT(C7),IF(EXACT(C7,D7),"OK","FAIL"),"FAIL")</f>
        <v/>
      </c>
    </row>
    <row r="8">
      <c r="A8" t="inlineStr">
        <is>
          <t>ENG007</t>
        </is>
      </c>
      <c r="B8" t="inlineStr"/>
      <c r="C8">
        <f>BITAND(12,10)</f>
        <v/>
      </c>
      <c r="D8" t="n">
        <v>8</v>
      </c>
      <c r="E8">
        <f>IF(ISNUMBER(C8),IF(ABS(C8-D8)&lt;0.000000001,"OK","FAIL"),"FAIL")</f>
        <v/>
      </c>
    </row>
    <row r="9">
      <c r="A9" t="inlineStr">
        <is>
          <t>ENG008</t>
        </is>
      </c>
      <c r="B9" t="inlineStr"/>
      <c r="C9">
        <f>BITOR(12,10)</f>
        <v/>
      </c>
      <c r="D9" t="n">
        <v>14</v>
      </c>
      <c r="E9">
        <f>IF(ISNUMBER(C9),IF(ABS(C9-D9)&lt;0.000000001,"OK","FAIL"),"FAIL")</f>
        <v/>
      </c>
    </row>
    <row r="10">
      <c r="A10" t="inlineStr">
        <is>
          <t>ENG009</t>
        </is>
      </c>
      <c r="B10" t="inlineStr"/>
      <c r="C10">
        <f>BITXOR(12,10)</f>
        <v/>
      </c>
      <c r="D10" t="n">
        <v>6</v>
      </c>
      <c r="E10">
        <f>IF(ISNUMBER(C10),IF(ABS(C10-D10)&lt;0.000000001,"OK","FAIL"),"FAIL")</f>
        <v/>
      </c>
    </row>
    <row r="11">
      <c r="A11" t="inlineStr">
        <is>
          <t>ENG010</t>
        </is>
      </c>
      <c r="B11" t="inlineStr"/>
      <c r="C11">
        <f>BITLSHIFT(1,4)</f>
        <v/>
      </c>
      <c r="D11" t="n">
        <v>16</v>
      </c>
      <c r="E11">
        <f>IF(ISNUMBER(C11),IF(ABS(C11-D11)&lt;0.000000001,"OK","FAIL"),"FAIL")</f>
        <v/>
      </c>
    </row>
    <row r="12">
      <c r="A12" t="inlineStr">
        <is>
          <t>ENG011</t>
        </is>
      </c>
      <c r="B12" t="inlineStr"/>
      <c r="C12">
        <f>BITRSHIFT(16,2)</f>
        <v/>
      </c>
      <c r="D12" t="n">
        <v>4</v>
      </c>
      <c r="E12">
        <f>IF(ISNUMBER(C12),IF(ABS(C12-D12)&lt;0.000000001,"OK","FAIL"),"FAIL")</f>
        <v/>
      </c>
    </row>
    <row r="13">
      <c r="A13" t="inlineStr">
        <is>
          <t>ENG012</t>
        </is>
      </c>
      <c r="B13" t="inlineStr"/>
      <c r="C13">
        <f>DELTA(5,5)</f>
        <v/>
      </c>
      <c r="D13" t="n">
        <v>1</v>
      </c>
      <c r="E13">
        <f>IF(ISNUMBER(C13),IF(ABS(C13-D13)&lt;0.000000001,"OK","FAIL"),"FAIL")</f>
        <v/>
      </c>
    </row>
    <row r="14">
      <c r="A14" t="inlineStr">
        <is>
          <t>ENG013</t>
        </is>
      </c>
      <c r="B14" t="inlineStr"/>
      <c r="C14">
        <f>DELTA(5,4)</f>
        <v/>
      </c>
      <c r="D14" t="n">
        <v>0</v>
      </c>
      <c r="E14">
        <f>IF(ISNUMBER(C14),IF(ABS(C14-D14)&lt;0.000000001,"OK","FAIL"),"FAIL")</f>
        <v/>
      </c>
    </row>
    <row r="15">
      <c r="A15" t="inlineStr">
        <is>
          <t>ENG014</t>
        </is>
      </c>
      <c r="B15" t="inlineStr"/>
      <c r="C15">
        <f>GESTEP(5,4)</f>
        <v/>
      </c>
      <c r="D15" t="n">
        <v>1</v>
      </c>
      <c r="E15">
        <f>IF(ISNUMBER(C15),IF(ABS(C15-D15)&lt;0.000000001,"OK","FAIL"),"FAIL")</f>
        <v/>
      </c>
    </row>
    <row r="16">
      <c r="A16" t="inlineStr">
        <is>
          <t>ENG015</t>
        </is>
      </c>
      <c r="B16" t="inlineStr"/>
      <c r="C16">
        <f>ERF(0)</f>
        <v/>
      </c>
      <c r="D16" t="n">
        <v>0</v>
      </c>
      <c r="E16">
        <f>IF(ISNUMBER(C16),IF(ABS(C16-D16)&lt;0.000000001,"OK","FAIL"),"FAIL")</f>
        <v/>
      </c>
    </row>
    <row r="17">
      <c r="A17" t="inlineStr">
        <is>
          <t>ENG016</t>
        </is>
      </c>
      <c r="B17" t="inlineStr"/>
      <c r="C17">
        <f>COMPLEX(3,4)</f>
        <v/>
      </c>
      <c r="D17" t="inlineStr">
        <is>
          <t>3+4i</t>
        </is>
      </c>
      <c r="E17">
        <f>IF(ISTEXT(C17),IF(EXACT(C17,D17),"OK","FAIL"),"FAIL")</f>
        <v/>
      </c>
    </row>
    <row r="18">
      <c r="A18" t="inlineStr">
        <is>
          <t>ENG017</t>
        </is>
      </c>
      <c r="B18" t="inlineStr"/>
      <c r="C18">
        <f>IMABS("3+4i")</f>
        <v/>
      </c>
      <c r="D18" t="n">
        <v>5</v>
      </c>
      <c r="E18">
        <f>IF(ISNUMBER(C18),IF(ABS(C18-D18)&lt;0.000000001,"OK","FAIL"),"FAIL")</f>
        <v/>
      </c>
    </row>
    <row r="19">
      <c r="A19" t="inlineStr">
        <is>
          <t>ENG018</t>
        </is>
      </c>
      <c r="B19" t="inlineStr"/>
      <c r="C19">
        <f>IMREAL("3+4i")</f>
        <v/>
      </c>
      <c r="D19" t="n">
        <v>3</v>
      </c>
      <c r="E19">
        <f>IF(ISNUMBER(C19),IF(ABS(C19-D19)&lt;0.000000001,"OK","FAIL"),"FAIL")</f>
        <v/>
      </c>
    </row>
    <row r="20">
      <c r="A20" t="inlineStr">
        <is>
          <t>ENG019</t>
        </is>
      </c>
      <c r="B20" t="inlineStr"/>
      <c r="C20">
        <f>IMAGINARY("3+4i")</f>
        <v/>
      </c>
      <c r="D20" t="n">
        <v>4</v>
      </c>
      <c r="E20">
        <f>IF(ISNUMBER(C20),IF(ABS(C20-D20)&lt;0.000000001,"OK","FAIL"),"FAIL")</f>
        <v/>
      </c>
    </row>
    <row r="21">
      <c r="A21" t="inlineStr">
        <is>
          <t>ENG020</t>
        </is>
      </c>
      <c r="B21" t="inlineStr"/>
      <c r="C21">
        <f>IMSUM("1+2i","3+4i")</f>
        <v/>
      </c>
      <c r="D21" t="inlineStr">
        <is>
          <t>4+6i</t>
        </is>
      </c>
      <c r="E21">
        <f>IF(ISTEXT(C21),IF(EXACT(C21,D21),"OK","FAIL"),"FAIL")</f>
        <v/>
      </c>
    </row>
    <row r="22">
      <c r="A22" t="inlineStr">
        <is>
          <t>ENG021</t>
        </is>
      </c>
      <c r="B22" t="inlineStr"/>
      <c r="C22">
        <f>CONVERT(1,"in","cm")</f>
        <v/>
      </c>
      <c r="D22" t="n">
        <v>2.54</v>
      </c>
      <c r="E22">
        <f>IF(ISNUMBER(C22),IF(ABS(C22-D22)&lt;0.000000001,"OK","FAIL"),"FAIL")</f>
        <v/>
      </c>
    </row>
    <row r="23">
      <c r="A23" t="inlineStr">
        <is>
          <t>ENG022</t>
        </is>
      </c>
      <c r="B23" t="inlineStr"/>
      <c r="C23">
        <f>CONVERT(100,"C","F")</f>
        <v/>
      </c>
      <c r="D23" t="n">
        <v>212</v>
      </c>
      <c r="E23">
        <f>IF(ISNUMBER(C23),IF(ABS(C23-D23)&lt;0.000000001,"OK","FAIL"),"FAIL")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DAT001</t>
        </is>
      </c>
      <c r="B2" t="inlineStr">
        <is>
          <t>Qty &gt; 8</t>
        </is>
      </c>
      <c r="C2">
        <f>DSUM(Data!A1:C6,"Qty",Data!K4:K5)</f>
        <v/>
      </c>
      <c r="D2" t="n">
        <v>45</v>
      </c>
      <c r="E2">
        <f>IF(ISNUMBER(C2),IF(ABS(C2-D2)&lt;0.000000001,"OK","FAIL"),"FAIL")</f>
        <v/>
      </c>
    </row>
    <row r="3">
      <c r="A3" t="inlineStr">
        <is>
          <t>DAT002</t>
        </is>
      </c>
      <c r="B3" t="inlineStr"/>
      <c r="C3">
        <f>DCOUNT(Data!A1:C6,"Qty",Data!K4:K5)</f>
        <v/>
      </c>
      <c r="D3" t="n">
        <v>3</v>
      </c>
      <c r="E3">
        <f>IF(ISNUMBER(C3),IF(ABS(C3-D3)&lt;0.000000001,"OK","FAIL"),"FAIL")</f>
        <v/>
      </c>
    </row>
    <row r="4">
      <c r="A4" t="inlineStr">
        <is>
          <t>DAT003</t>
        </is>
      </c>
      <c r="B4" t="inlineStr"/>
      <c r="C4">
        <f>DMAX(Data!A1:C6,"Qty",Data!K4:K5)</f>
        <v/>
      </c>
      <c r="D4" t="n">
        <v>20</v>
      </c>
      <c r="E4">
        <f>IF(ISNUMBER(C4),IF(ABS(C4-D4)&lt;0.000000001,"OK","FAIL"),"FAIL")</f>
        <v/>
      </c>
    </row>
    <row r="5">
      <c r="A5" t="inlineStr">
        <is>
          <t>DAT004</t>
        </is>
      </c>
      <c r="B5" t="inlineStr"/>
      <c r="C5">
        <f>DMIN(Data!A1:C6,"Qty",Data!K4:K5)</f>
        <v/>
      </c>
      <c r="D5" t="n">
        <v>10</v>
      </c>
      <c r="E5">
        <f>IF(ISNUMBER(C5),IF(ABS(C5-D5)&lt;0.000000001,"OK","FAIL"),"FAIL")</f>
        <v/>
      </c>
    </row>
    <row r="6">
      <c r="A6" t="inlineStr">
        <is>
          <t>DAT005</t>
        </is>
      </c>
      <c r="B6" t="inlineStr">
        <is>
          <t>Fruit = Date</t>
        </is>
      </c>
      <c r="C6">
        <f>DGET(Data!A1:C6,"Price",Data!L4:L5)</f>
        <v/>
      </c>
      <c r="D6" t="n">
        <v>4.5</v>
      </c>
      <c r="E6">
        <f>IF(ISNUMBER(C6),IF(ABS(C6-D6)&lt;0.000000001,"OK","FAIL"),"FAIL")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ERR001</t>
        </is>
      </c>
      <c r="B2" t="inlineStr">
        <is>
          <t>walks off the grid</t>
        </is>
      </c>
      <c r="C2">
        <f>OFFSET(Data!A1,-1,0)</f>
        <v/>
      </c>
      <c r="D2" t="e">
        <v>#REF!</v>
      </c>
      <c r="E2">
        <f>IF(IFERROR(ERROR.TYPE(C2),0)=4,"OK","FAIL")</f>
        <v/>
      </c>
    </row>
    <row r="3">
      <c r="A3" t="inlineStr">
        <is>
          <t>ERR002</t>
        </is>
      </c>
      <c r="B3" t="inlineStr"/>
      <c r="C3">
        <f>INDIRECT("bogus ref")</f>
        <v/>
      </c>
      <c r="D3" t="e">
        <v>#REF!</v>
      </c>
      <c r="E3">
        <f>IF(IFERROR(ERROR.TYPE(C3),0)=4,"OK","FAIL")</f>
        <v/>
      </c>
    </row>
    <row r="4">
      <c r="A4" t="inlineStr">
        <is>
          <t>ERR003</t>
        </is>
      </c>
      <c r="B4" t="inlineStr"/>
      <c r="C4">
        <f>VLOOKUP("zzz",Data!A2:C6,2,FALSE)</f>
        <v/>
      </c>
      <c r="D4" t="e">
        <v>#N/A</v>
      </c>
      <c r="E4">
        <f>IF(IFERROR(ERROR.TYPE(C4),0)=7,"OK","FAIL")</f>
        <v/>
      </c>
    </row>
    <row r="5">
      <c r="A5" t="inlineStr">
        <is>
          <t>ERR004</t>
        </is>
      </c>
      <c r="B5" t="inlineStr"/>
      <c r="C5">
        <f>NA()</f>
        <v/>
      </c>
      <c r="D5" t="e">
        <v>#N/A</v>
      </c>
      <c r="E5">
        <f>IF(IFERROR(ERROR.TYPE(C5),0)=7,"OK","FAIL")</f>
        <v/>
      </c>
    </row>
    <row r="6">
      <c r="A6" t="inlineStr">
        <is>
          <t>ERR005</t>
        </is>
      </c>
      <c r="B6" t="inlineStr"/>
      <c r="C6">
        <f>DATE(-1,1,1)</f>
        <v/>
      </c>
      <c r="D6" t="e">
        <v>#NUM!</v>
      </c>
      <c r="E6">
        <f>IF(IFERROR(ERROR.TYPE(C6),0)=6,"OK","FAIL")</f>
        <v/>
      </c>
    </row>
    <row r="7">
      <c r="A7" t="inlineStr">
        <is>
          <t>ERR006</t>
        </is>
      </c>
      <c r="B7" t="inlineStr">
        <is>
          <t>unknown function</t>
        </is>
      </c>
      <c r="C7">
        <f>NOSUCHFUNCTION(1)</f>
        <v/>
      </c>
      <c r="D7" t="e">
        <v>#NAME?</v>
      </c>
      <c r="E7">
        <f>IF(IFERROR(ERROR.TYPE(C7),0)=5,"OK","FAIL")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8" customWidth="1" min="3" max="3"/>
    <col width="22" customWidth="1" min="4" max="4"/>
    <col width="8" customWidth="1" min="5" max="5"/>
  </cols>
  <sheetData>
    <row r="1">
      <c r="A1" s="1" t="inlineStr">
        <is>
          <t>ID</t>
        </is>
      </c>
      <c r="B1" s="1" t="inlineStr">
        <is>
          <t>Note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Check</t>
        </is>
      </c>
    </row>
    <row r="2">
      <c r="A2" t="inlineStr">
        <is>
          <t>GAP001</t>
        </is>
      </c>
      <c r="B2" t="inlineStr">
        <is>
          <t>no native TRANSPOSE (MY* only)</t>
        </is>
      </c>
      <c r="C2">
        <f>SUM(TRANSPOSE(Data!E1:E8))</f>
        <v/>
      </c>
      <c r="D2" t="n">
        <v>39</v>
      </c>
      <c r="E2">
        <f>IF(ISNUMBER(C2),IF(ABS(C2-D2)&lt;0.000000001,"OK","FAIL"),"FAIL")</f>
        <v/>
      </c>
    </row>
    <row r="3">
      <c r="A3" t="inlineStr">
        <is>
          <t>GAP002</t>
        </is>
      </c>
      <c r="B3" t="inlineStr">
        <is>
          <t>no SEQUENCE</t>
        </is>
      </c>
      <c r="C3">
        <f>SUM(SEQUENCE(3))</f>
        <v/>
      </c>
      <c r="D3" t="n">
        <v>6</v>
      </c>
      <c r="E3">
        <f>IF(ISNUMBER(C3),IF(ABS(C3-D3)&lt;0.000000001,"OK","FAIL"),"FAIL")</f>
        <v/>
      </c>
    </row>
    <row r="4">
      <c r="A4" t="inlineStr">
        <is>
          <t>GAP003</t>
        </is>
      </c>
      <c r="B4" t="inlineStr">
        <is>
          <t>no LET</t>
        </is>
      </c>
      <c r="C4">
        <f>LET(x,2,x*3)</f>
        <v/>
      </c>
      <c r="D4" t="n">
        <v>6</v>
      </c>
      <c r="E4">
        <f>IF(ISNUMBER(C4),IF(ABS(C4-D4)&lt;0.000000001,"OK","FAIL"),"FAIL")</f>
        <v/>
      </c>
    </row>
    <row r="5">
      <c r="A5" t="inlineStr">
        <is>
          <t>GAP004</t>
        </is>
      </c>
      <c r="B5" t="inlineStr">
        <is>
          <t>no TEXTSPLIT (anchor cell)</t>
        </is>
      </c>
      <c r="C5">
        <f>TEXTSPLIT("a,b",",")</f>
        <v/>
      </c>
      <c r="D5" t="inlineStr">
        <is>
          <t>a</t>
        </is>
      </c>
      <c r="E5">
        <f>IF(ISTEXT(C5),IF(EXACT(C5,D5),"OK","FAIL"),"FAIL")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2026-08-03T08:18:00Z</dcterms:created>
  <dcterms:modified xsi:type="dcterms:W3CDTF">2026-08-03T08:18:00Z</dcterms:modified>
</cp:coreProperties>
</file>